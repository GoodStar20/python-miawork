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4.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5.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6.xml" ContentType="application/vnd.openxmlformats-officedocument.drawing+xml"/>
  <Override PartName="/xl/ctrlProps/ctrlProp67.xml" ContentType="application/vnd.ms-excel.controlproperties+xml"/>
  <Override PartName="/xl/ctrlProps/ctrlProp68.xml" ContentType="application/vnd.ms-excel.controlproperties+xml"/>
  <Override PartName="/xl/drawings/drawing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8.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225" codeName="{AE6600E7-7A62-396C-DE95-9942FA9DD81E}"/>
  <workbookPr showInkAnnotation="0" codeName="ThisWorkbook"/>
  <mc:AlternateContent xmlns:mc="http://schemas.openxmlformats.org/markup-compatibility/2006">
    <mc:Choice Requires="x15">
      <x15ac:absPath xmlns:x15ac="http://schemas.microsoft.com/office/spreadsheetml/2010/11/ac" url="D:\WorkSpace\miaworkcomp\excel\templates\"/>
    </mc:Choice>
  </mc:AlternateContent>
  <xr:revisionPtr revIDLastSave="0" documentId="8_{BFF931AC-BAB6-45AF-9B05-229BCE753A45}" xr6:coauthVersionLast="47" xr6:coauthVersionMax="47" xr10:uidLastSave="{00000000-0000-0000-0000-000000000000}"/>
  <bookViews>
    <workbookView xWindow="-120" yWindow="-120" windowWidth="20730" windowHeight="11160" tabRatio="664" xr2:uid="{00000000-000D-0000-FFFF-FFFF00000000}"/>
  </bookViews>
  <sheets>
    <sheet name="Worksheet Prep" sheetId="3" r:id="rId1"/>
    <sheet name="STATE CODES (NUM) &amp; MIN-MAX" sheetId="1" r:id="rId2"/>
    <sheet name="AL" sheetId="2" state="hidden" r:id="rId3"/>
    <sheet name="AK" sheetId="45" state="hidden" r:id="rId4"/>
    <sheet name="AZ" sheetId="6" state="hidden" r:id="rId5"/>
    <sheet name="AR" sheetId="46" state="hidden" r:id="rId6"/>
    <sheet name="CA" sheetId="7" state="hidden" r:id="rId7"/>
    <sheet name="CO" sheetId="47" state="hidden" r:id="rId8"/>
    <sheet name="CT" sheetId="48" state="hidden" r:id="rId9"/>
    <sheet name="DE" sheetId="49" state="hidden" r:id="rId10"/>
    <sheet name="D.C." sheetId="56" state="hidden" r:id="rId11"/>
    <sheet name="GA" sheetId="57" state="hidden" r:id="rId12"/>
    <sheet name="ID" sheetId="58" state="hidden" r:id="rId13"/>
    <sheet name="IL" sheetId="60" state="hidden" r:id="rId14"/>
    <sheet name="IN" sheetId="61" state="hidden" r:id="rId15"/>
    <sheet name="IA" sheetId="59" state="hidden" r:id="rId16"/>
    <sheet name="KS" sheetId="17" state="hidden" r:id="rId17"/>
    <sheet name="KY" sheetId="62" state="hidden" r:id="rId18"/>
    <sheet name="LA" sheetId="63" state="hidden" r:id="rId19"/>
    <sheet name="ME" sheetId="64" state="hidden" r:id="rId20"/>
    <sheet name="MD" sheetId="65" state="hidden" r:id="rId21"/>
    <sheet name="MI" sheetId="66" state="hidden" r:id="rId22"/>
    <sheet name="MN" sheetId="67" state="hidden" r:id="rId23"/>
    <sheet name="MS" sheetId="68" state="hidden" r:id="rId24"/>
    <sheet name="MO" sheetId="69" state="hidden" r:id="rId25"/>
    <sheet name="NE" sheetId="70" state="hidden" r:id="rId26"/>
    <sheet name="MT" sheetId="26" state="hidden" r:id="rId27"/>
    <sheet name="NV" sheetId="71" state="hidden" r:id="rId28"/>
    <sheet name="NH" sheetId="31" state="hidden" r:id="rId29"/>
    <sheet name="NJ" sheetId="29" state="hidden" r:id="rId30"/>
    <sheet name="NM" sheetId="32" state="hidden" r:id="rId31"/>
    <sheet name="NY" sheetId="72" state="hidden" r:id="rId32"/>
    <sheet name="NC" sheetId="27" state="hidden" r:id="rId33"/>
    <sheet name="OK" sheetId="33" state="hidden" r:id="rId34"/>
    <sheet name="PA" sheetId="34" state="hidden" r:id="rId35"/>
    <sheet name="RI" sheetId="35" state="hidden" r:id="rId36"/>
    <sheet name="SC" sheetId="36" state="hidden" r:id="rId37"/>
    <sheet name="SD" sheetId="37" state="hidden" r:id="rId38"/>
    <sheet name="TN" sheetId="39" state="hidden" r:id="rId39"/>
    <sheet name="TX" sheetId="38" state="hidden" r:id="rId40"/>
    <sheet name="UT" sheetId="40" state="hidden" r:id="rId41"/>
    <sheet name="VT" sheetId="42" state="hidden" r:id="rId42"/>
    <sheet name="VA" sheetId="41" state="hidden" r:id="rId43"/>
    <sheet name="WV" sheetId="43" state="hidden" r:id="rId44"/>
    <sheet name="Additional Info" sheetId="44" r:id="rId45"/>
  </sheets>
  <definedNames>
    <definedName name="ALABAMA">'STATE CODES (NUM) &amp; MIN-MAX'!$C$3</definedName>
    <definedName name="_xlnm.Print_Area" localSheetId="3">AK!$B$1:$G$28</definedName>
    <definedName name="_xlnm.Print_Area" localSheetId="2">AL!$B$1:$G$29</definedName>
    <definedName name="_xlnm.Print_Area" localSheetId="5">AR!$B$1:$G$29</definedName>
    <definedName name="_xlnm.Print_Area" localSheetId="4">AZ!$B$1:$I$71</definedName>
    <definedName name="_xlnm.Print_Area" localSheetId="6">CA!$B$1:$F$30</definedName>
    <definedName name="_xlnm.Print_Area" localSheetId="7">CO!$B$1:$G$29</definedName>
    <definedName name="_xlnm.Print_Area" localSheetId="8">CT!$B$1:$G$29</definedName>
    <definedName name="_xlnm.Print_Area" localSheetId="10">'D.C.'!$B$1:$G$29</definedName>
    <definedName name="_xlnm.Print_Area" localSheetId="9">DE!$B$1:$G$30</definedName>
    <definedName name="_xlnm.Print_Area" localSheetId="11">GA!$B$1:$G$30</definedName>
    <definedName name="_xlnm.Print_Area" localSheetId="15">IA!$B$1:$G$29</definedName>
    <definedName name="_xlnm.Print_Area" localSheetId="12">ID!$B$1:$G$28</definedName>
    <definedName name="_xlnm.Print_Area" localSheetId="13">IL!$B$1:$G$28</definedName>
    <definedName name="_xlnm.Print_Area" localSheetId="14">IN!$B$1:$G$30</definedName>
    <definedName name="_xlnm.Print_Area" localSheetId="16">KS!$B$1:$F$33</definedName>
    <definedName name="_xlnm.Print_Area" localSheetId="17">KY!$B$1:$G$29</definedName>
    <definedName name="_xlnm.Print_Area" localSheetId="18">LA!$B$1:$G$26</definedName>
    <definedName name="_xlnm.Print_Area" localSheetId="20">MD!$B$1:$G$29</definedName>
    <definedName name="_xlnm.Print_Area" localSheetId="19">ME!$B$1:$G$30</definedName>
    <definedName name="_xlnm.Print_Area" localSheetId="21">MI!$B$1:$G$32</definedName>
    <definedName name="_xlnm.Print_Area" localSheetId="22">MN!$B$1:$G$30</definedName>
    <definedName name="_xlnm.Print_Area" localSheetId="24">MO!$B$1:$G$28</definedName>
    <definedName name="_xlnm.Print_Area" localSheetId="23">MS!$B$1:$G$29</definedName>
    <definedName name="_xlnm.Print_Area" localSheetId="26">MT!$B$1:$G$30</definedName>
    <definedName name="_xlnm.Print_Area" localSheetId="32">NC!$B$1:$G$29</definedName>
    <definedName name="_xlnm.Print_Area" localSheetId="25">NE!$B$1:$G$30</definedName>
    <definedName name="_xlnm.Print_Area" localSheetId="28">NH!$B$1:$G$32</definedName>
    <definedName name="_xlnm.Print_Area" localSheetId="29">NJ!$B$1:$G$31</definedName>
    <definedName name="_xlnm.Print_Area" localSheetId="30">NM!$B$1:$H$34</definedName>
    <definedName name="_xlnm.Print_Area" localSheetId="27">NV!$B$1:$G$29</definedName>
    <definedName name="_xlnm.Print_Area" localSheetId="31">NY!$B$1:$G$29</definedName>
    <definedName name="_xlnm.Print_Area" localSheetId="33">OK!$B$1:$I$33</definedName>
    <definedName name="_xlnm.Print_Area" localSheetId="34">PA!$B$1:$G$31</definedName>
    <definedName name="_xlnm.Print_Area" localSheetId="35">RI!$B$1:$G$29</definedName>
    <definedName name="_xlnm.Print_Area" localSheetId="36">SC!$B$1:$G$29</definedName>
    <definedName name="_xlnm.Print_Area" localSheetId="37">SD!$B$1:$H$39</definedName>
    <definedName name="_xlnm.Print_Area" localSheetId="1">'STATE CODES (NUM) &amp; MIN-MAX'!$B$1:$I$64</definedName>
    <definedName name="_xlnm.Print_Area" localSheetId="38">TN!$B$1:$G$29</definedName>
    <definedName name="_xlnm.Print_Area" localSheetId="39">TX!$B$1:$G$30</definedName>
    <definedName name="_xlnm.Print_Area" localSheetId="40">UT!$B$1:$G$29</definedName>
    <definedName name="_xlnm.Print_Area" localSheetId="42">VA!$B$1:$G$28</definedName>
    <definedName name="_xlnm.Print_Area" localSheetId="41">VT!$B$1:$F$33</definedName>
    <definedName name="_xlnm.Print_Area" localSheetId="0">'Worksheet Prep'!$B$1:$L$25</definedName>
    <definedName name="_xlnm.Print_Area" localSheetId="43">WV!$B$1:$G$29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3" l="1"/>
  <c r="H11" i="33" l="1"/>
  <c r="H12" i="32"/>
  <c r="G13" i="31"/>
  <c r="D11" i="31"/>
  <c r="H11" i="6"/>
  <c r="F28" i="72" l="1"/>
  <c r="E24" i="72"/>
  <c r="D24" i="72"/>
  <c r="F10" i="72"/>
  <c r="C10" i="72"/>
  <c r="C11" i="72" s="1"/>
  <c r="F8" i="72"/>
  <c r="F6" i="72"/>
  <c r="C6" i="72"/>
  <c r="E26" i="72" l="1"/>
  <c r="D24" i="48"/>
  <c r="C28" i="72" l="1"/>
  <c r="F28" i="71" l="1"/>
  <c r="F28" i="43"/>
  <c r="F27" i="41"/>
  <c r="F30" i="42"/>
  <c r="F28" i="40"/>
  <c r="F29" i="38"/>
  <c r="F28" i="39"/>
  <c r="F32" i="37"/>
  <c r="F28" i="36"/>
  <c r="F28" i="35"/>
  <c r="F30" i="34"/>
  <c r="F32" i="33"/>
  <c r="C15" i="33"/>
  <c r="F28" i="27"/>
  <c r="C15" i="32"/>
  <c r="F33" i="32"/>
  <c r="F30" i="29"/>
  <c r="F28" i="31"/>
  <c r="F29" i="70"/>
  <c r="F29" i="26"/>
  <c r="F27" i="69"/>
  <c r="F28" i="68"/>
  <c r="F29" i="67"/>
  <c r="F29" i="66"/>
  <c r="F28" i="65"/>
  <c r="F29" i="64"/>
  <c r="F25" i="63"/>
  <c r="F29" i="17"/>
  <c r="F28" i="59"/>
  <c r="F29" i="61"/>
  <c r="F27" i="60"/>
  <c r="F27" i="58"/>
  <c r="F29" i="57"/>
  <c r="F28" i="56"/>
  <c r="F29" i="49"/>
  <c r="F28" i="48"/>
  <c r="F28" i="47"/>
  <c r="F29" i="7"/>
  <c r="F28" i="46"/>
  <c r="B42" i="6"/>
  <c r="B50" i="6"/>
  <c r="F70" i="6"/>
  <c r="F32" i="6"/>
  <c r="F27" i="45"/>
  <c r="F28" i="2"/>
  <c r="F28" i="62"/>
  <c r="F8" i="43"/>
  <c r="F8" i="41"/>
  <c r="D10" i="42"/>
  <c r="F8" i="40"/>
  <c r="F8" i="38"/>
  <c r="F8" i="39"/>
  <c r="D11" i="37"/>
  <c r="F8" i="36"/>
  <c r="F8" i="35"/>
  <c r="F8" i="34"/>
  <c r="D9" i="33"/>
  <c r="F8" i="27"/>
  <c r="D9" i="32"/>
  <c r="F8" i="29"/>
  <c r="F8" i="71"/>
  <c r="D9" i="70"/>
  <c r="D9" i="26"/>
  <c r="F8" i="69"/>
  <c r="F8" i="68"/>
  <c r="F8" i="67"/>
  <c r="F8" i="66"/>
  <c r="F8" i="65"/>
  <c r="F8" i="64"/>
  <c r="F8" i="63"/>
  <c r="C10" i="17"/>
  <c r="F8" i="59"/>
  <c r="F8" i="61"/>
  <c r="F8" i="60"/>
  <c r="F8" i="58"/>
  <c r="F8" i="57"/>
  <c r="F8" i="56"/>
  <c r="F8" i="49"/>
  <c r="F8" i="48"/>
  <c r="F8" i="47"/>
  <c r="C9" i="7"/>
  <c r="F8" i="46"/>
  <c r="E11" i="6"/>
  <c r="D8" i="6"/>
  <c r="F8" i="45"/>
  <c r="F8" i="2"/>
  <c r="F6" i="43"/>
  <c r="F6" i="41"/>
  <c r="D8" i="42"/>
  <c r="F6" i="40"/>
  <c r="F6" i="38"/>
  <c r="F6" i="39"/>
  <c r="D9" i="37"/>
  <c r="F6" i="36"/>
  <c r="F6" i="35"/>
  <c r="F6" i="34"/>
  <c r="D7" i="33"/>
  <c r="F6" i="27"/>
  <c r="D7" i="32"/>
  <c r="F6" i="29"/>
  <c r="D9" i="31"/>
  <c r="F6" i="71"/>
  <c r="D8" i="70"/>
  <c r="D8" i="26"/>
  <c r="F6" i="69"/>
  <c r="F6" i="68"/>
  <c r="F6" i="67"/>
  <c r="F6" i="66"/>
  <c r="F6" i="65"/>
  <c r="F6" i="64"/>
  <c r="F6" i="63"/>
  <c r="C9" i="17"/>
  <c r="F6" i="59"/>
  <c r="F6" i="61"/>
  <c r="F6" i="60"/>
  <c r="F6" i="58"/>
  <c r="F6" i="57"/>
  <c r="F6" i="56"/>
  <c r="F6" i="49"/>
  <c r="F6" i="48"/>
  <c r="F6" i="47"/>
  <c r="C8" i="7"/>
  <c r="F6" i="46"/>
  <c r="D6" i="6"/>
  <c r="F6" i="45"/>
  <c r="F6" i="2"/>
  <c r="C6" i="43"/>
  <c r="C6" i="41"/>
  <c r="B8" i="42"/>
  <c r="C6" i="40"/>
  <c r="C6" i="38"/>
  <c r="C6" i="39"/>
  <c r="B9" i="37"/>
  <c r="C6" i="36"/>
  <c r="C6" i="35"/>
  <c r="C6" i="34"/>
  <c r="B7" i="33"/>
  <c r="C6" i="27"/>
  <c r="B7" i="32"/>
  <c r="C6" i="29"/>
  <c r="B9" i="31"/>
  <c r="C6" i="71"/>
  <c r="D6" i="70"/>
  <c r="D6" i="26"/>
  <c r="C6" i="69"/>
  <c r="C6" i="68"/>
  <c r="C6" i="67"/>
  <c r="C6" i="66"/>
  <c r="C6" i="65"/>
  <c r="C6" i="64"/>
  <c r="C6" i="63"/>
  <c r="C7" i="17"/>
  <c r="C6" i="59"/>
  <c r="C6" i="61"/>
  <c r="C6" i="60"/>
  <c r="C6" i="58"/>
  <c r="C6" i="57"/>
  <c r="C6" i="56"/>
  <c r="C6" i="49"/>
  <c r="C6" i="48"/>
  <c r="C6" i="47"/>
  <c r="C6" i="7"/>
  <c r="C6" i="46"/>
  <c r="B6" i="6"/>
  <c r="C6" i="45"/>
  <c r="C6" i="2"/>
  <c r="F8" i="62" l="1"/>
  <c r="C28" i="62"/>
  <c r="C6" i="62"/>
  <c r="F6" i="62"/>
  <c r="C30" i="42" l="1"/>
  <c r="C32" i="37"/>
  <c r="C32" i="33"/>
  <c r="B15" i="32"/>
  <c r="C29" i="70"/>
  <c r="C29" i="67"/>
  <c r="C25" i="63"/>
  <c r="C29" i="61"/>
  <c r="C28" i="56"/>
  <c r="B14" i="6"/>
  <c r="C27" i="45"/>
  <c r="C28" i="40"/>
  <c r="C28" i="36"/>
  <c r="B15" i="33"/>
  <c r="C30" i="29"/>
  <c r="C29" i="26"/>
  <c r="C29" i="66"/>
  <c r="C27" i="60"/>
  <c r="C29" i="49"/>
  <c r="C29" i="7"/>
  <c r="C27" i="41"/>
  <c r="C28" i="39"/>
  <c r="C30" i="34"/>
  <c r="C28" i="71"/>
  <c r="C28" i="68"/>
  <c r="C28" i="59"/>
  <c r="C28" i="47"/>
  <c r="C28" i="43"/>
  <c r="C29" i="38"/>
  <c r="C28" i="35"/>
  <c r="C28" i="27"/>
  <c r="C28" i="31"/>
  <c r="C27" i="69"/>
  <c r="C28" i="65"/>
  <c r="C29" i="17"/>
  <c r="C27" i="58"/>
  <c r="C28" i="48"/>
  <c r="C28" i="46"/>
  <c r="C33" i="32"/>
  <c r="C29" i="64"/>
  <c r="C29" i="57"/>
  <c r="C32" i="6"/>
  <c r="C28" i="2"/>
  <c r="C46" i="6"/>
  <c r="C10" i="29"/>
  <c r="C10" i="43"/>
  <c r="C10" i="41"/>
  <c r="B12" i="42"/>
  <c r="C10" i="40"/>
  <c r="C10" i="38"/>
  <c r="C10" i="39"/>
  <c r="B16" i="37"/>
  <c r="C10" i="36"/>
  <c r="C10" i="35"/>
  <c r="C10" i="34"/>
  <c r="B11" i="33"/>
  <c r="C10" i="27"/>
  <c r="B11" i="32"/>
  <c r="B14" i="31"/>
  <c r="C10" i="71"/>
  <c r="D11" i="70"/>
  <c r="D11" i="26"/>
  <c r="C10" i="69"/>
  <c r="C10" i="68"/>
  <c r="C10" i="67"/>
  <c r="C10" i="66"/>
  <c r="C10" i="65"/>
  <c r="C10" i="64"/>
  <c r="C10" i="63"/>
  <c r="C10" i="62"/>
  <c r="C12" i="17"/>
  <c r="C10" i="59"/>
  <c r="C10" i="61"/>
  <c r="C10" i="60"/>
  <c r="C10" i="58"/>
  <c r="C10" i="57"/>
  <c r="C10" i="56"/>
  <c r="C10" i="49"/>
  <c r="C10" i="48"/>
  <c r="C10" i="47"/>
  <c r="C11" i="7"/>
  <c r="C12" i="7" s="1"/>
  <c r="C10" i="46"/>
  <c r="B10" i="6"/>
  <c r="B12" i="6" s="1"/>
  <c r="C10" i="2" l="1"/>
  <c r="C10" i="45"/>
  <c r="D25" i="42" l="1"/>
  <c r="E25" i="42"/>
  <c r="B14" i="42"/>
  <c r="D12" i="42"/>
  <c r="F12" i="42" s="1"/>
  <c r="E24" i="43"/>
  <c r="D24" i="43"/>
  <c r="C11" i="43"/>
  <c r="F10" i="43"/>
  <c r="E23" i="41"/>
  <c r="D23" i="41"/>
  <c r="C11" i="41"/>
  <c r="F10" i="41"/>
  <c r="E24" i="40"/>
  <c r="D24" i="40"/>
  <c r="C11" i="40"/>
  <c r="F10" i="40"/>
  <c r="E25" i="38"/>
  <c r="D25" i="38"/>
  <c r="C11" i="38"/>
  <c r="F10" i="38"/>
  <c r="E24" i="39"/>
  <c r="D24" i="39"/>
  <c r="C11" i="39"/>
  <c r="F10" i="39"/>
  <c r="G27" i="37"/>
  <c r="F27" i="37"/>
  <c r="E27" i="37"/>
  <c r="D27" i="37"/>
  <c r="D16" i="37"/>
  <c r="C11" i="36"/>
  <c r="E24" i="36"/>
  <c r="D24" i="36"/>
  <c r="F10" i="36"/>
  <c r="E24" i="35"/>
  <c r="D24" i="35"/>
  <c r="C11" i="35"/>
  <c r="F10" i="35"/>
  <c r="E26" i="34"/>
  <c r="D26" i="34"/>
  <c r="C11" i="34"/>
  <c r="F10" i="34"/>
  <c r="B13" i="33"/>
  <c r="E11" i="33"/>
  <c r="G27" i="33"/>
  <c r="F27" i="33"/>
  <c r="E27" i="33"/>
  <c r="D27" i="33"/>
  <c r="E24" i="27"/>
  <c r="D24" i="27"/>
  <c r="C11" i="27"/>
  <c r="F10" i="27"/>
  <c r="G27" i="32"/>
  <c r="F27" i="32"/>
  <c r="E27" i="32"/>
  <c r="D26" i="29"/>
  <c r="E26" i="29"/>
  <c r="E22" i="31"/>
  <c r="F22" i="31"/>
  <c r="D24" i="71"/>
  <c r="E24" i="71"/>
  <c r="D25" i="70"/>
  <c r="E25" i="70"/>
  <c r="D25" i="26"/>
  <c r="E25" i="26"/>
  <c r="D23" i="69"/>
  <c r="E23" i="69"/>
  <c r="D24" i="68"/>
  <c r="E24" i="68"/>
  <c r="E26" i="68" s="1"/>
  <c r="D25" i="67"/>
  <c r="E25" i="67"/>
  <c r="E25" i="66"/>
  <c r="E24" i="65"/>
  <c r="D25" i="66"/>
  <c r="D24" i="65"/>
  <c r="D25" i="64"/>
  <c r="E25" i="64"/>
  <c r="D21" i="63"/>
  <c r="E21" i="63"/>
  <c r="D24" i="62"/>
  <c r="E24" i="62"/>
  <c r="E26" i="62" s="1"/>
  <c r="D24" i="17"/>
  <c r="E24" i="17"/>
  <c r="D25" i="61"/>
  <c r="E25" i="61"/>
  <c r="D23" i="60"/>
  <c r="E23" i="60"/>
  <c r="D24" i="59"/>
  <c r="E24" i="59"/>
  <c r="D23" i="58"/>
  <c r="E23" i="58"/>
  <c r="D25" i="57"/>
  <c r="E25" i="57"/>
  <c r="D24" i="56"/>
  <c r="E24" i="56"/>
  <c r="E25" i="49"/>
  <c r="E24" i="48"/>
  <c r="E24" i="47"/>
  <c r="G27" i="6"/>
  <c r="E24" i="46"/>
  <c r="E23" i="45"/>
  <c r="E24" i="2"/>
  <c r="D25" i="49"/>
  <c r="D24" i="47"/>
  <c r="E27" i="7"/>
  <c r="D24" i="46"/>
  <c r="F27" i="6"/>
  <c r="D23" i="45"/>
  <c r="D24" i="2"/>
  <c r="B13" i="32"/>
  <c r="E12" i="32"/>
  <c r="D27" i="32"/>
  <c r="C11" i="29"/>
  <c r="F10" i="29"/>
  <c r="B16" i="31"/>
  <c r="E13" i="31"/>
  <c r="E27" i="26" l="1"/>
  <c r="E28" i="34"/>
  <c r="E26" i="56"/>
  <c r="E25" i="69"/>
  <c r="E27" i="70"/>
  <c r="E25" i="31"/>
  <c r="E27" i="42"/>
  <c r="E25" i="58"/>
  <c r="E25" i="60"/>
  <c r="E26" i="65"/>
  <c r="E26" i="27"/>
  <c r="E30" i="33"/>
  <c r="E26" i="43"/>
  <c r="E25" i="41"/>
  <c r="E26" i="40"/>
  <c r="E27" i="38"/>
  <c r="E26" i="39"/>
  <c r="E29" i="37"/>
  <c r="E26" i="36"/>
  <c r="E26" i="35"/>
  <c r="E30" i="32"/>
  <c r="E28" i="29"/>
  <c r="E26" i="71"/>
  <c r="E27" i="67"/>
  <c r="E27" i="66"/>
  <c r="E27" i="64"/>
  <c r="E23" i="63"/>
  <c r="E26" i="17"/>
  <c r="E26" i="59"/>
  <c r="E27" i="61"/>
  <c r="E27" i="57"/>
  <c r="E30" i="6"/>
  <c r="F10" i="68"/>
  <c r="F10" i="67"/>
  <c r="F10" i="66"/>
  <c r="F10" i="65"/>
  <c r="F10" i="64"/>
  <c r="F10" i="63"/>
  <c r="F10" i="62"/>
  <c r="F10" i="61"/>
  <c r="F10" i="58"/>
  <c r="F10" i="57"/>
  <c r="F10" i="56"/>
  <c r="F10" i="49"/>
  <c r="F10" i="47"/>
  <c r="C11" i="45"/>
  <c r="E25" i="45"/>
  <c r="C11" i="71" l="1"/>
  <c r="D12" i="70"/>
  <c r="D12" i="26"/>
  <c r="C11" i="69"/>
  <c r="C11" i="68"/>
  <c r="C11" i="67"/>
  <c r="C11" i="66"/>
  <c r="C11" i="65"/>
  <c r="C11" i="64"/>
  <c r="C11" i="63"/>
  <c r="C11" i="62"/>
  <c r="C13" i="17"/>
  <c r="C11" i="61"/>
  <c r="C11" i="60"/>
  <c r="C11" i="59"/>
  <c r="C11" i="58"/>
  <c r="C11" i="57"/>
  <c r="C11" i="56"/>
  <c r="C11" i="49"/>
  <c r="C11" i="48"/>
  <c r="E26" i="47"/>
  <c r="C11" i="47"/>
  <c r="C11" i="2"/>
  <c r="H45" i="6"/>
  <c r="C70" i="6"/>
  <c r="B48" i="6"/>
  <c r="B44" i="6"/>
  <c r="B46" i="6" s="1"/>
  <c r="D40" i="6"/>
  <c r="C40" i="6"/>
  <c r="E27" i="6"/>
  <c r="D27" i="6"/>
  <c r="E45" i="6"/>
  <c r="D42" i="6"/>
  <c r="B40" i="6"/>
  <c r="C6" i="6"/>
  <c r="C11" i="46"/>
  <c r="E27" i="49" l="1"/>
  <c r="E26" i="46"/>
  <c r="E26" i="48"/>
  <c r="E26" i="2" l="1"/>
</calcChain>
</file>

<file path=xl/sharedStrings.xml><?xml version="1.0" encoding="utf-8"?>
<sst xmlns="http://schemas.openxmlformats.org/spreadsheetml/2006/main" count="2111" uniqueCount="448">
  <si>
    <t xml:space="preserve">                VERSION 1.2 Effective 02/28/2013</t>
  </si>
  <si>
    <t>WINS STATE CODES</t>
  </si>
  <si>
    <t>STATE</t>
  </si>
  <si>
    <t>CREDIT</t>
  </si>
  <si>
    <t>DEBIT</t>
  </si>
  <si>
    <t>ELIGIBILITY</t>
  </si>
  <si>
    <t>FILING</t>
  </si>
  <si>
    <t xml:space="preserve">NOTES </t>
  </si>
  <si>
    <t>State Workers Compensation Rating and Statistical Bureaus</t>
  </si>
  <si>
    <t>COMPANY</t>
  </si>
  <si>
    <t>WINS</t>
  </si>
  <si>
    <t>COMPANY CODE</t>
  </si>
  <si>
    <t>NCCI</t>
  </si>
  <si>
    <t xml:space="preserve"> </t>
  </si>
  <si>
    <t>Alabama - NCCI Holdings, Inc.</t>
  </si>
  <si>
    <t>Praetorian Insurance - 3501</t>
  </si>
  <si>
    <t>Alaska - NCCI Holdings, Inc.</t>
  </si>
  <si>
    <t>QBE Insurance Company - 3801</t>
  </si>
  <si>
    <t>Plan I</t>
  </si>
  <si>
    <t>Arizona - NCCI Holdings, Inc.</t>
  </si>
  <si>
    <t>any risk</t>
  </si>
  <si>
    <t>Independent</t>
  </si>
  <si>
    <t>Arkansas - NCCI Holdings, Inc.</t>
  </si>
  <si>
    <t>&gt;class MP</t>
  </si>
  <si>
    <t>California - Workers' Compensation Insurance Rating Bureau of California</t>
  </si>
  <si>
    <t>THESE ARE THE FILED MIN/MAX.REFER TO THE PROGRAM UW GUIDELINES FOR PARAMETERS SPECIFICALLY RELATING TO YOUR PROGRAM.</t>
  </si>
  <si>
    <t>Colorado - NCCI Holdings, Inc.</t>
  </si>
  <si>
    <t>Connecticut - NCCI Holdings, Inc.</t>
  </si>
  <si>
    <t>Delaware - Delaware Compensation Rating Bureau</t>
  </si>
  <si>
    <t>District of Columbia - NCCI Holdings, Inc.</t>
  </si>
  <si>
    <t>not available</t>
  </si>
  <si>
    <t>Florida - NCCI Holdings, Inc.</t>
  </si>
  <si>
    <t>new filing reduced from +/-40%</t>
  </si>
  <si>
    <t>Georgia - NCCI Holdings, Inc.</t>
  </si>
  <si>
    <t>Hawaii - NCCI Holdings, Inc.</t>
  </si>
  <si>
    <t>cannot reduce premium below minimum premium</t>
  </si>
  <si>
    <t>Idaho - NCCI Holdings, Inc.</t>
  </si>
  <si>
    <t>Illinois - NCCI Holdings, Inc.</t>
  </si>
  <si>
    <t>Indiana - Indiana Compensation Rating Bureau</t>
  </si>
  <si>
    <t>Iowa - NCCI Holdings, Inc.</t>
  </si>
  <si>
    <t>Kansas - NCCI Holdings, Inc.</t>
  </si>
  <si>
    <t>new filing reduced from 50%</t>
  </si>
  <si>
    <t>Kentucky - NCCI Holdings, Inc.</t>
  </si>
  <si>
    <t xml:space="preserve">*PIC - final premium must be &gt;$6,000 </t>
  </si>
  <si>
    <t>Louisiana - NCCI Holdings, Inc.</t>
  </si>
  <si>
    <t>*</t>
  </si>
  <si>
    <t>*must be eligible for experience rating</t>
  </si>
  <si>
    <t>Maine - NCCI Holdings, Inc.</t>
  </si>
  <si>
    <t>Maryland - NCCI Holdings, Inc.</t>
  </si>
  <si>
    <t xml:space="preserve">MASSACHUSETTS                 </t>
  </si>
  <si>
    <t>Massachusetts - The Workers' Compensation Rating and Inspection Bureau</t>
  </si>
  <si>
    <t>PIC &amp; QBEIC</t>
  </si>
  <si>
    <t>Michigan - Michigan Workers' Compensation Placement Facility</t>
  </si>
  <si>
    <t>Minnesota - Minnesota Workers Compensation Insurers Association</t>
  </si>
  <si>
    <t>Mississippi - NCCI Holdings, Inc.</t>
  </si>
  <si>
    <t>Missouri - NCCI Holdings, Inc.</t>
  </si>
  <si>
    <t>Montana - NCCI Holdings, Inc.</t>
  </si>
  <si>
    <t>called Flexible Rating adjustment</t>
  </si>
  <si>
    <t>Nebraska - NCCI Holdings, Inc.</t>
  </si>
  <si>
    <t>Nevada - NCCI Holdings, Inc.</t>
  </si>
  <si>
    <t>New Hampshire - NCCI Holdings, Inc.</t>
  </si>
  <si>
    <t>Bureau</t>
  </si>
  <si>
    <t>New Jersey - New Jersey Compensation Rating &amp; Inspection Bureau</t>
  </si>
  <si>
    <t>New Mexico - NCCI Holdings, Inc.</t>
  </si>
  <si>
    <t>New York - New York Compensation Insurance Rating Board</t>
  </si>
  <si>
    <t>$PIC  ,$2500 QBEIC;   +/- 45% in PIC for Special Classes.</t>
  </si>
  <si>
    <t>North Carolina - North Carolina Rate Bureau</t>
  </si>
  <si>
    <t xml:space="preserve">NORTH DAKOTA                  </t>
  </si>
  <si>
    <t>North Dakota - North Dakota Workforce Safety &amp; Insurance</t>
  </si>
  <si>
    <t xml:space="preserve">OHIO                          </t>
  </si>
  <si>
    <t>Ohio - Ohio Bureau of Workers' Compensation</t>
  </si>
  <si>
    <t>Oklahoma - NCCI Holdings, Inc.</t>
  </si>
  <si>
    <t xml:space="preserve">OREGON                        </t>
  </si>
  <si>
    <t>Oregon - NCCI Holdings, Inc.</t>
  </si>
  <si>
    <t>Pennsylvania - Pennsylvania Compensation Rating Bureau</t>
  </si>
  <si>
    <t>Rhode Island - NCCI Holdings, Inc.</t>
  </si>
  <si>
    <t>South Carolina - NCCI Holdings, Inc.</t>
  </si>
  <si>
    <t>South Dakota - NCCI Holdings, Inc.</t>
  </si>
  <si>
    <t>Tennessee - NCCI Holdings, Inc.</t>
  </si>
  <si>
    <t>&gt;$5,000</t>
  </si>
  <si>
    <t>Texas - Texas Department of Insurance</t>
  </si>
  <si>
    <t>Utah - NCCI Holdings, Inc.</t>
  </si>
  <si>
    <t>Vermont - NCCI Holdings, Inc.</t>
  </si>
  <si>
    <t>must be eligible for experience rating</t>
  </si>
  <si>
    <t>Virginia - NCCI Holdings, Inc.</t>
  </si>
  <si>
    <t xml:space="preserve">WASHINGTON                    </t>
  </si>
  <si>
    <t>Washington - Washington State Department of Labor and Industries</t>
  </si>
  <si>
    <t>West Virginia - NCCI Holdings, Inc.</t>
  </si>
  <si>
    <t xml:space="preserve">WISCONSIN                     </t>
  </si>
  <si>
    <t>Wisconsin - Wisconsin Compensation Rating Bureau</t>
  </si>
  <si>
    <t xml:space="preserve">WYOMING                       </t>
  </si>
  <si>
    <t>Wyoming - Workers' Safety and Compensation Division</t>
  </si>
  <si>
    <t>-</t>
  </si>
  <si>
    <t>Effective Date:</t>
  </si>
  <si>
    <t>Policy Number:</t>
  </si>
  <si>
    <t>CLICK HERE to Edit or Add to UW reasons</t>
  </si>
  <si>
    <t>CLICK HERE to Edit or Add to Underwriters</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</si>
  <si>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</si>
  <si>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</si>
  <si>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</si>
  <si>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</si>
  <si>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</si>
  <si>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</si>
  <si>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</si>
  <si>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</si>
  <si>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</si>
  <si>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</si>
  <si>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</si>
  <si>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</si>
  <si>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</si>
  <si>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</si>
  <si>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</si>
  <si>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</si>
  <si>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</si>
  <si>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</si>
  <si>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</si>
  <si>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</si>
  <si>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</si>
  <si>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MICHIGAN</t>
  </si>
  <si>
    <t>MINNESOTA</t>
  </si>
  <si>
    <t>MISSISSIPPI</t>
  </si>
  <si>
    <t>MISSOURI</t>
  </si>
  <si>
    <t>MONTANA</t>
  </si>
  <si>
    <t>NEBRASKA</t>
  </si>
  <si>
    <t>NEVADA</t>
  </si>
  <si>
    <t>NEW HAMPSHIRE</t>
  </si>
  <si>
    <t>NEW JERSEY</t>
  </si>
  <si>
    <t>NEW MEXICO</t>
  </si>
  <si>
    <t>NORTH CAROLINA</t>
  </si>
  <si>
    <t>OKLAHOMA</t>
  </si>
  <si>
    <t>PENNSYLVANIA</t>
  </si>
  <si>
    <t>RHODE ISLAND</t>
  </si>
  <si>
    <t>SOUTH CAROLINA</t>
  </si>
  <si>
    <t>SOUTH DAKOTA</t>
  </si>
  <si>
    <t>TENNESSEE</t>
  </si>
  <si>
    <t>TEXAS</t>
  </si>
  <si>
    <t>UTAH</t>
  </si>
  <si>
    <t>VERMONT</t>
  </si>
  <si>
    <t>VIRGINIA</t>
  </si>
  <si>
    <t>WEST VIRGINIA</t>
  </si>
  <si>
    <t>North Pointe Insurance Co. - 3001</t>
  </si>
  <si>
    <t>TODAY'S DATE:</t>
  </si>
  <si>
    <t>VERSION:</t>
  </si>
  <si>
    <t>QBE the Americas - Vers. 1.0</t>
  </si>
  <si>
    <t>SCHED MOD RATIONALE</t>
  </si>
  <si>
    <t>above average housekeeping</t>
  </si>
  <si>
    <t>above average premises maintenace</t>
  </si>
  <si>
    <t>below average housekeeking</t>
  </si>
  <si>
    <t>below average premises maintenance</t>
  </si>
  <si>
    <t xml:space="preserve">above average facilities </t>
  </si>
  <si>
    <t>below average facilities</t>
  </si>
  <si>
    <t>above average location</t>
  </si>
  <si>
    <t>below average location</t>
  </si>
  <si>
    <t>above average hiring practices</t>
  </si>
  <si>
    <t>below average hiring practices</t>
  </si>
  <si>
    <t>above average equipment</t>
  </si>
  <si>
    <t xml:space="preserve">below average equipment </t>
  </si>
  <si>
    <t>proximity of medical facilities</t>
  </si>
  <si>
    <t>below average medical facilities</t>
  </si>
  <si>
    <t>above average medical facilities</t>
  </si>
  <si>
    <t>above average safety program</t>
  </si>
  <si>
    <t>below average safety program</t>
  </si>
  <si>
    <t>above average training for class</t>
  </si>
  <si>
    <t>below average training for class</t>
  </si>
  <si>
    <t xml:space="preserve">higher than average driving duties </t>
  </si>
  <si>
    <t>lower than average driving duties</t>
  </si>
  <si>
    <t>above average driver safety program</t>
  </si>
  <si>
    <t>below average driver safety program</t>
  </si>
  <si>
    <t>above average exposure to heavy lifting</t>
  </si>
  <si>
    <t>below average exposure for heavy lifting</t>
  </si>
  <si>
    <t>formal written safety plan</t>
  </si>
  <si>
    <t>no formal written safety plan</t>
  </si>
  <si>
    <t>formal return to work program</t>
  </si>
  <si>
    <t>no formal return to work program</t>
  </si>
  <si>
    <t xml:space="preserve">higher than average travel </t>
  </si>
  <si>
    <t>lower than average travel</t>
  </si>
  <si>
    <t>higher than average lifting</t>
  </si>
  <si>
    <t>lower than average lifting</t>
  </si>
  <si>
    <t>absence of common controls for class</t>
  </si>
  <si>
    <t>above average controls</t>
  </si>
  <si>
    <t>exposures greater than average for class</t>
  </si>
  <si>
    <t>exposures less than average for class</t>
  </si>
  <si>
    <t>specialized operations-higher than avg. exposures</t>
  </si>
  <si>
    <t>specialized operations-lower than avg. exposure</t>
  </si>
  <si>
    <t>insufficient response to loss control recs.</t>
  </si>
  <si>
    <t>Management commitment to safety practices</t>
  </si>
  <si>
    <t>Safety incentive program</t>
  </si>
  <si>
    <t>Lack of safety incentives</t>
  </si>
  <si>
    <t>Special, risk specific controls</t>
  </si>
  <si>
    <t>higher than average turnover</t>
  </si>
  <si>
    <t>lower than average turnover</t>
  </si>
  <si>
    <t>&lt;&lt;&lt; ADDITIONAL REASONS</t>
  </si>
  <si>
    <t>SCHEDULE RATING WORKSHEET</t>
  </si>
  <si>
    <t>Risk Name:</t>
  </si>
  <si>
    <t xml:space="preserve">Policy Number: </t>
  </si>
  <si>
    <t xml:space="preserve">Risk Effective Date: </t>
  </si>
  <si>
    <t>Carrier:</t>
  </si>
  <si>
    <t>Carrier Code:</t>
  </si>
  <si>
    <t>Category</t>
  </si>
  <si>
    <t>Available Range of Modification (Credit to Debit)</t>
  </si>
  <si>
    <t>Credit Applied</t>
  </si>
  <si>
    <t>Debit Applied</t>
  </si>
  <si>
    <t>Reason/ Basis</t>
  </si>
  <si>
    <t>Prior Credit/Debit</t>
  </si>
  <si>
    <t>Premises</t>
  </si>
  <si>
    <t>+/-10%</t>
  </si>
  <si>
    <t>N/A</t>
  </si>
  <si>
    <t>Classification Peculiarities</t>
  </si>
  <si>
    <t>Medical Facilities</t>
  </si>
  <si>
    <t>+/- 5%</t>
  </si>
  <si>
    <t>Safety Devices</t>
  </si>
  <si>
    <t>Employees-Selection, Training, Supervision</t>
  </si>
  <si>
    <t>Management-Cooperation with Insurer</t>
  </si>
  <si>
    <t>Management-Safety Organization</t>
  </si>
  <si>
    <t xml:space="preserve">                                                            </t>
  </si>
  <si>
    <t>Total Schedule Rating Modification:</t>
  </si>
  <si>
    <t/>
  </si>
  <si>
    <r>
      <t xml:space="preserve">Prepared By:  </t>
    </r>
    <r>
      <rPr>
        <u/>
        <sz val="12"/>
        <color theme="1"/>
        <rFont val="Arial"/>
        <family val="2"/>
      </rPr>
      <t/>
    </r>
  </si>
  <si>
    <t xml:space="preserve">Date: </t>
  </si>
  <si>
    <t>UNDERWRITERS</t>
  </si>
  <si>
    <t>&lt;&lt;&lt;UNDERWRITERS</t>
  </si>
  <si>
    <t>Marrissa Barr</t>
  </si>
  <si>
    <t>Kelly Feger</t>
  </si>
  <si>
    <t>Ashley Crank</t>
  </si>
  <si>
    <t>Risk Location:</t>
  </si>
  <si>
    <t>+/-20%</t>
  </si>
  <si>
    <t>ARIZONA  SCHEDULE RATING WORKSHEET PLAN I</t>
  </si>
  <si>
    <t>ELIGIBILTY:  SEE RULES</t>
  </si>
  <si>
    <t>(Risk Name)</t>
  </si>
  <si>
    <t>(Policy Number)</t>
  </si>
  <si>
    <t>(Risk Address)</t>
  </si>
  <si>
    <t>(Policy Effective Date)</t>
  </si>
  <si>
    <t>(Carrier)</t>
  </si>
  <si>
    <t>(Effective/Expiration Date of Schedule Rating)</t>
  </si>
  <si>
    <t>(Carrier Code-5 digit)</t>
  </si>
  <si>
    <t>eff.</t>
  </si>
  <si>
    <t>exp.</t>
  </si>
  <si>
    <t>Rules applying to an on-site Loss Prevention Survey Completed? Date?</t>
  </si>
  <si>
    <t>(Carrier Representative)</t>
  </si>
  <si>
    <t xml:space="preserve">Are NCCI Rates being used without deviation? </t>
  </si>
  <si>
    <t>(Risk Identification Number)</t>
  </si>
  <si>
    <t>Does Estimated Standard Premium Equal or Exceed Current Experience Rating Eligibility Level?</t>
  </si>
  <si>
    <t>Is Arizona Schedule Rating Plan II being used?</t>
  </si>
  <si>
    <t>If Renewal, Previous Years</t>
  </si>
  <si>
    <t>Reason/Basis</t>
  </si>
  <si>
    <t>10% to 10%</t>
  </si>
  <si>
    <t>5% to 5%</t>
  </si>
  <si>
    <t>Employees- Selection, Training, Supervision</t>
  </si>
  <si>
    <t>Management-Cooperation with Insurance Carrier</t>
  </si>
  <si>
    <t>Management/Safety Organization</t>
  </si>
  <si>
    <t>Total</t>
  </si>
  <si>
    <t>MAXIMUM = 25%</t>
  </si>
  <si>
    <t>ARIZONA  SCHEDULE RATING WORKSHEET PLAN II</t>
  </si>
  <si>
    <t>Does the Minimum Premium Rule Apply?</t>
  </si>
  <si>
    <t>Manual Premium Loss</t>
  </si>
  <si>
    <t>Schedule Rating Factor</t>
  </si>
  <si>
    <t>0–50%</t>
  </si>
  <si>
    <t>51–60%</t>
  </si>
  <si>
    <t>61–70%</t>
  </si>
  <si>
    <t>71–80%</t>
  </si>
  <si>
    <t>81–90%</t>
  </si>
  <si>
    <t>91–100%</t>
  </si>
  <si>
    <t>101–110%</t>
  </si>
  <si>
    <t>111–120%</t>
  </si>
  <si>
    <t>121–130%</t>
  </si>
  <si>
    <t>131–140%</t>
  </si>
  <si>
    <t>&gt;140%</t>
  </si>
  <si>
    <t>TOTAL</t>
  </si>
  <si>
    <t xml:space="preserve">The maximum annual increase in an employer's schedule rating factor is limited to 10 percentage points. 
Policies combined for experience rating purposes will also be combined for schedule rating purposes. The credit or debit factor developed using the combined premiums and losses will apply to all combined policies. Similarly, experience rating rules governing situations where ownership changes have occurred will also apply to Plan II. </t>
  </si>
  <si>
    <t>SEE ADDITIONAL DETAILS AND STATE SITE FOR SCHEDULE RATING PLAN I AND LOSS CONTROL REQUIREMENTS</t>
  </si>
  <si>
    <t>The premium for a risk may be modified by +/- 40% in accordance with the table below to reflect such characteristics of the risk that are not reflected in its experience.</t>
  </si>
  <si>
    <t>RATING SCHEDULE WORKSHEET</t>
  </si>
  <si>
    <t>Risk Address:</t>
  </si>
  <si>
    <t>Effective/Expiration Date of Sch.Rating</t>
  </si>
  <si>
    <t>Company:</t>
  </si>
  <si>
    <t>Company Code:</t>
  </si>
  <si>
    <t>Below Average</t>
  </si>
  <si>
    <t>Average</t>
  </si>
  <si>
    <t>Superior</t>
  </si>
  <si>
    <t>Premises +/-10%</t>
  </si>
  <si>
    <t>Classification Peculiarities +/-25%</t>
  </si>
  <si>
    <t>Medical Facilities  +/- 10%</t>
  </si>
  <si>
    <t>Safety Devices +/-10%</t>
  </si>
  <si>
    <t>Employees-Selection Training, Supervision +/-15%</t>
  </si>
  <si>
    <t>Management-Capability/ Cooperation +/-15%</t>
  </si>
  <si>
    <t>Expense of Providing Insurance Services +/-5%</t>
  </si>
  <si>
    <t>Other Factors +/-10%</t>
  </si>
  <si>
    <t>A. Total Schedule Rating Modification:</t>
  </si>
  <si>
    <t>Employees</t>
  </si>
  <si>
    <t>Management-Cooperation</t>
  </si>
  <si>
    <t>Expense of Providing Insurance</t>
  </si>
  <si>
    <t>Other</t>
  </si>
  <si>
    <t>Expense Differences</t>
  </si>
  <si>
    <t>Premises - Condition, Care</t>
  </si>
  <si>
    <t>Classification Peculialities</t>
  </si>
  <si>
    <t>Employees - Selection, Training, Supervision</t>
  </si>
  <si>
    <t>Management - Cooperation with Insurer</t>
  </si>
  <si>
    <t>Management - Safety Organization</t>
  </si>
  <si>
    <r>
      <t xml:space="preserve">The premium for a risk may be modified by </t>
    </r>
    <r>
      <rPr>
        <b/>
        <sz val="12"/>
        <color theme="1"/>
        <rFont val="Arial"/>
        <family val="2"/>
      </rPr>
      <t>+/- 50%</t>
    </r>
    <r>
      <rPr>
        <sz val="12"/>
        <color theme="1"/>
        <rFont val="Arial"/>
        <family val="2"/>
      </rPr>
      <t xml:space="preserve"> in accordance with the table below to reflect such characteristics of the risk that are not reflected in its experience.</t>
    </r>
  </si>
  <si>
    <t>State:</t>
  </si>
  <si>
    <t>Drug Free Workplace</t>
  </si>
  <si>
    <t>QBE THE AMERICAS</t>
  </si>
  <si>
    <t>KANSAS SCHEDULE RATING WORKSHEET</t>
  </si>
  <si>
    <t>ELIGIBILTY:  Any risk</t>
  </si>
  <si>
    <t>Policy Effective Date:</t>
  </si>
  <si>
    <t>Effective/Expiration Date of Schedule Rating Applicability:</t>
  </si>
  <si>
    <t>Risk Identification Number:</t>
  </si>
  <si>
    <t>Maximum=25%</t>
  </si>
  <si>
    <t>Kansas Estimated Standard Premium</t>
  </si>
  <si>
    <t>Total Schedule Rating Modification</t>
  </si>
  <si>
    <t>Underwriter</t>
  </si>
  <si>
    <t>Management Safety Organization</t>
  </si>
  <si>
    <t>+/-5%</t>
  </si>
  <si>
    <t>-5% to +10%</t>
  </si>
  <si>
    <t>LOUISIANNA</t>
  </si>
  <si>
    <t xml:space="preserve">Supporting information for schedule rating is retained in the underwriting file. </t>
  </si>
  <si>
    <r>
      <t xml:space="preserve">The premium for a risk may be modified by </t>
    </r>
    <r>
      <rPr>
        <b/>
        <sz val="12"/>
        <color theme="1"/>
        <rFont val="Arial"/>
        <family val="2"/>
      </rPr>
      <t>+/- 25%</t>
    </r>
    <r>
      <rPr>
        <sz val="12"/>
        <color theme="1"/>
        <rFont val="Arial"/>
        <family val="2"/>
      </rPr>
      <t xml:space="preserve"> in accordance with the table below to reflect such characteristics of the risk that are not reflected in its experience.</t>
    </r>
  </si>
  <si>
    <t>QBE the Americas</t>
  </si>
  <si>
    <t>MONTANA SCHEDULE RATING WORKSHEET</t>
  </si>
  <si>
    <t>Policy Number</t>
  </si>
  <si>
    <t xml:space="preserve">Credit Applied </t>
  </si>
  <si>
    <t>Effective Date of Schedule Rating:</t>
  </si>
  <si>
    <t>NEBRASKA SCHEDULE RATING WORKSHEET</t>
  </si>
  <si>
    <t xml:space="preserve">State: </t>
  </si>
  <si>
    <t>WORKERS COMPENSATION SCHEDULE RATING WORKSHEET</t>
  </si>
  <si>
    <t xml:space="preserve">NEW HAMPSHIRE </t>
  </si>
  <si>
    <t>effective:</t>
  </si>
  <si>
    <t>expiration:</t>
  </si>
  <si>
    <t xml:space="preserve">Loss Prevention Survey Completed? </t>
  </si>
  <si>
    <t xml:space="preserve">Does Estimated Standard Premium Equal or Exceed Current $1000 Experience Rating Eligibility Level? </t>
  </si>
  <si>
    <t xml:space="preserve">This includes but is not limited to an insured's premises condition and care; medical facilities, safety devices, employees' selection, training, and supervision; and cooperation with the insurer. </t>
  </si>
  <si>
    <t>25% to 25%</t>
  </si>
  <si>
    <t>(New Hampshire Estimated Standard Premium)</t>
  </si>
  <si>
    <t>Features of Workplace Maintenance or Operation</t>
  </si>
  <si>
    <t>Risk Elements not addressed in the classifications assigned</t>
  </si>
  <si>
    <t>Availability of Medical Facilities in or near workplace</t>
  </si>
  <si>
    <t>Safety Equip/Devices present or missing from workplace</t>
  </si>
  <si>
    <t>Extraordinary safety programs applicable</t>
  </si>
  <si>
    <t>Qualifications of Employees</t>
  </si>
  <si>
    <t>Cooperation with carrier by Management</t>
  </si>
  <si>
    <t>Considerations related to policy expenses</t>
  </si>
  <si>
    <t>Other Risk Characteristics Not addressed above</t>
  </si>
  <si>
    <t>NEW MEXICO WORKERS COMPENSATION SCHEDULE RATING WORKSHEET</t>
  </si>
  <si>
    <t xml:space="preserve">New or Renewal? </t>
  </si>
  <si>
    <t>(Date)</t>
  </si>
  <si>
    <t>Date Completed?</t>
  </si>
  <si>
    <t xml:space="preserve">Does Estimated Standard Premium Equal or Exceed Current Experience Rating Eligibility Level? </t>
  </si>
  <si>
    <t>6% to 6%</t>
  </si>
  <si>
    <t>3% to 3%</t>
  </si>
  <si>
    <t>Note: No fractions or decimals should be reflected within the matrix.</t>
  </si>
  <si>
    <t>(New Mexico Estimated Standard Premium)</t>
  </si>
  <si>
    <t>Maximum = +/-15%</t>
  </si>
  <si>
    <t>+/- 10%</t>
  </si>
  <si>
    <t>OKLAHOMA WORKERS COMPENSATION SCHEDULE RATING WORKSHEET</t>
  </si>
  <si>
    <t>Loss Prevention Survey Completed? Date?</t>
  </si>
  <si>
    <t>Date:</t>
  </si>
  <si>
    <t>Do Oklahoma Workers Compensation Premium Reduction (WCPR) credits apply to this policy?</t>
  </si>
  <si>
    <t xml:space="preserve">If so, write the WCPR credits in this space: </t>
  </si>
  <si>
    <t>Do Oklahoma Workers Compensation Merit Plan credits or debits apply to this policy?  If so, write the write the Merit Plan credits or debits in this space as appropriate.</t>
  </si>
  <si>
    <t>Credit</t>
  </si>
  <si>
    <t>Debit</t>
  </si>
  <si>
    <t>Maximum=25% Additionally, if the Oklahoma Workers Compensation Premium Reduction Program and/or Oklahoma Merit Rating Plan credits or debits apply, the total modification for the Schedule Rating Plan, WCPR, and the Merit Rating plan will be a maximum modification of 25%.</t>
  </si>
  <si>
    <r>
      <t xml:space="preserve">The premium for a risk may be modified by </t>
    </r>
    <r>
      <rPr>
        <b/>
        <sz val="12"/>
        <color theme="1"/>
        <rFont val="Arial"/>
        <family val="2"/>
      </rPr>
      <t>+/-25%</t>
    </r>
    <r>
      <rPr>
        <sz val="12"/>
        <color theme="1"/>
        <rFont val="Arial"/>
        <family val="2"/>
      </rPr>
      <t xml:space="preserve"> in accordance with the table below to reflect such characteristics of the risk that are not reflected in its experience.</t>
    </r>
  </si>
  <si>
    <t>South Carolina</t>
  </si>
  <si>
    <t xml:space="preserve">SOUTH DAKOTA </t>
  </si>
  <si>
    <t>New or Renewal?</t>
  </si>
  <si>
    <t xml:space="preserve">(Specific type of survey physical on-site inspection, telephone survey, or electronic survey) </t>
  </si>
  <si>
    <t>Date Completed:</t>
  </si>
  <si>
    <t>(Carrier &amp; Code Number)</t>
  </si>
  <si>
    <t>(Carrier Address)</t>
  </si>
  <si>
    <t>Is there a minimum premium?</t>
  </si>
  <si>
    <t>One Wall Street Plaza, 88 Pine Street, NY, NY  10005</t>
  </si>
  <si>
    <t>Previous Year Credit Applied</t>
  </si>
  <si>
    <t>Previous Year Debit Applied</t>
  </si>
  <si>
    <t>Current Year Credit Applied</t>
  </si>
  <si>
    <t>Current Year Debit Applied</t>
  </si>
  <si>
    <t xml:space="preserve">Mail form to: </t>
  </si>
  <si>
    <t>patsy.mehlhaff@state.sd.us</t>
  </si>
  <si>
    <r>
      <t xml:space="preserve">The premium for a risk may be modified by </t>
    </r>
    <r>
      <rPr>
        <b/>
        <sz val="12"/>
        <color theme="1"/>
        <rFont val="Arial"/>
        <family val="2"/>
      </rPr>
      <t>+/- 40%</t>
    </r>
    <r>
      <rPr>
        <sz val="12"/>
        <color theme="1"/>
        <rFont val="Arial"/>
        <family val="2"/>
      </rPr>
      <t xml:space="preserve"> in accordance with the table below to reflect such characteristics of the risk that are not reflected in its experience.</t>
    </r>
  </si>
  <si>
    <r>
      <t xml:space="preserve">The premium for a risk may be modified by </t>
    </r>
    <r>
      <rPr>
        <b/>
        <sz val="12"/>
        <color theme="1"/>
        <rFont val="Arial"/>
        <family val="2"/>
      </rPr>
      <t>+/- 15%</t>
    </r>
    <r>
      <rPr>
        <sz val="12"/>
        <color theme="1"/>
        <rFont val="Arial"/>
        <family val="2"/>
      </rPr>
      <t xml:space="preserve"> in accordance with the table below to reflect such characteristics of the risk that are not reflected in its experience.</t>
    </r>
  </si>
  <si>
    <t>Virginia</t>
  </si>
  <si>
    <t>VERMONT SCHEDULE RATING WORKSHEET</t>
  </si>
  <si>
    <t>/</t>
  </si>
  <si>
    <t>Loss Prevention Survey Completed?</t>
  </si>
  <si>
    <t>A. General Information</t>
  </si>
  <si>
    <t>Named Insured:</t>
  </si>
  <si>
    <t>DBA:</t>
  </si>
  <si>
    <t>UW:</t>
  </si>
  <si>
    <t>Term:</t>
  </si>
  <si>
    <t>Agent#:</t>
  </si>
  <si>
    <t>Eff. Date:</t>
  </si>
  <si>
    <t>Acct #:</t>
  </si>
  <si>
    <t>Exp. Date:</t>
  </si>
  <si>
    <t>Policy #:</t>
  </si>
  <si>
    <t>Data Set:</t>
  </si>
  <si>
    <t>Active Company:</t>
  </si>
  <si>
    <t>Quote #:</t>
  </si>
  <si>
    <t>Date Prepared:</t>
  </si>
  <si>
    <r>
      <t xml:space="preserve">The premium for a risk may be modified by </t>
    </r>
    <r>
      <rPr>
        <b/>
        <sz val="12"/>
        <color theme="1"/>
        <rFont val="Arial"/>
        <family val="2"/>
      </rPr>
      <t>+/- 50%</t>
    </r>
    <r>
      <rPr>
        <sz val="12"/>
        <color theme="1"/>
        <rFont val="Arial"/>
        <family val="2"/>
      </rPr>
      <t xml:space="preserve"> in accordance with the maximum and minimum set forth in the Company's filed schedule rating plan and in accordianc with the table below to reflect such characteristics of the risk that are not reflected in its experience.</t>
    </r>
  </si>
  <si>
    <r>
      <t>The premium for a risk may be modified by</t>
    </r>
    <r>
      <rPr>
        <b/>
        <sz val="12"/>
        <color theme="1"/>
        <rFont val="Arial"/>
        <family val="2"/>
      </rPr>
      <t xml:space="preserve"> +/- 25%</t>
    </r>
    <r>
      <rPr>
        <sz val="12"/>
        <color theme="1"/>
        <rFont val="Arial"/>
        <family val="2"/>
      </rPr>
      <t xml:space="preserve"> in accordance with the table below to reflect such characteristics of the risk that are not reflected in its experience.</t>
    </r>
  </si>
  <si>
    <r>
      <t xml:space="preserve">The premium for a risk may be modified by </t>
    </r>
    <r>
      <rPr>
        <b/>
        <sz val="12"/>
        <color theme="1"/>
        <rFont val="Arial"/>
        <family val="2"/>
      </rPr>
      <t>+/-15%</t>
    </r>
    <r>
      <rPr>
        <sz val="12"/>
        <color theme="1"/>
        <rFont val="Arial"/>
        <family val="2"/>
      </rPr>
      <t xml:space="preserve"> in accordance with the table below to reflect such characteristics of the risk that are not reflected in its experience.</t>
    </r>
  </si>
  <si>
    <r>
      <t>The premium for a risk may be modified by</t>
    </r>
    <r>
      <rPr>
        <b/>
        <sz val="12"/>
        <color theme="1"/>
        <rFont val="Arial"/>
        <family val="2"/>
      </rPr>
      <t xml:space="preserve"> -40% / +25%</t>
    </r>
    <r>
      <rPr>
        <sz val="12"/>
        <color theme="1"/>
        <rFont val="Arial"/>
        <family val="2"/>
      </rPr>
      <t xml:space="preserve"> in accordance with the table below to reflect such characteristics of the risk that are not reflected in its experience.</t>
    </r>
  </si>
  <si>
    <t>USE CTRL + R TO UPLOAD</t>
  </si>
  <si>
    <t>ARC</t>
  </si>
  <si>
    <t>DRA</t>
  </si>
  <si>
    <t>JAL</t>
  </si>
  <si>
    <t>KJF</t>
  </si>
  <si>
    <t>KLA</t>
  </si>
  <si>
    <t>MBA</t>
  </si>
  <si>
    <t>MHR</t>
  </si>
  <si>
    <t>RBA</t>
  </si>
  <si>
    <t>Jim Allonier</t>
  </si>
  <si>
    <t>Keith Laughlin</t>
  </si>
  <si>
    <t>Marc Risen</t>
  </si>
  <si>
    <t>Rob Baughman</t>
  </si>
  <si>
    <t>Diane Armstrong</t>
  </si>
  <si>
    <t>Workers' Compensation Schedule Rating Worksheet</t>
  </si>
  <si>
    <t>USub #:</t>
  </si>
  <si>
    <t>New York</t>
  </si>
  <si>
    <t>Premises / Work Environment</t>
  </si>
  <si>
    <t xml:space="preserve">Management </t>
  </si>
  <si>
    <t>Safety Organization</t>
  </si>
  <si>
    <t>+/- 2%</t>
  </si>
  <si>
    <t>NEW YORK</t>
  </si>
  <si>
    <t>+/-25%</t>
  </si>
  <si>
    <t>North Carolina</t>
  </si>
  <si>
    <t>TBE</t>
  </si>
  <si>
    <t>Tami Beedie</t>
  </si>
  <si>
    <t>Management Capability Cooperation with Insurer</t>
  </si>
  <si>
    <t>KCO</t>
  </si>
  <si>
    <t>CMC</t>
  </si>
  <si>
    <t>Kim Counts</t>
  </si>
  <si>
    <t xml:space="preserve">Corley McMillan </t>
  </si>
  <si>
    <t>Anne Anderson</t>
  </si>
  <si>
    <t>AMA</t>
  </si>
  <si>
    <t>JLE</t>
  </si>
  <si>
    <t xml:space="preserve">Jonathan Le Fevre </t>
  </si>
  <si>
    <t>Ezra Erle</t>
  </si>
  <si>
    <t>EER</t>
  </si>
  <si>
    <t>MLA</t>
  </si>
  <si>
    <t>Michele Landberg</t>
  </si>
  <si>
    <t>The premium for a risk may be modified by +/-5% in accordance with the table below to reflect such characteristics of the risk that are not reflected in its experience.</t>
  </si>
  <si>
    <r>
      <t xml:space="preserve">The premium for a risk may be modified by </t>
    </r>
    <r>
      <rPr>
        <b/>
        <sz val="12"/>
        <color theme="1"/>
        <rFont val="Arial"/>
        <family val="2"/>
      </rPr>
      <t xml:space="preserve">+/- 45% </t>
    </r>
    <r>
      <rPr>
        <sz val="12"/>
        <color theme="1"/>
        <rFont val="Arial"/>
        <family val="2"/>
      </rPr>
      <t xml:space="preserve">in accordance with the table below to reflect such characteristics of the risk that are not reflected in its experience. </t>
    </r>
    <r>
      <rPr>
        <b/>
        <sz val="12"/>
        <color theme="1"/>
        <rFont val="Arial"/>
        <family val="2"/>
      </rPr>
      <t>Note if Drug Free Credit is applied the modification will be +/-40%.</t>
    </r>
  </si>
  <si>
    <t>Zero indicates No Schedule Rating is warranted</t>
  </si>
  <si>
    <t>Noah Shartzer</t>
  </si>
  <si>
    <t>NSH</t>
  </si>
  <si>
    <t>P Venni Purusothaman</t>
  </si>
  <si>
    <t>PPU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</si>
</sst>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quot;$&quot;#,##0"/>
    <numFmt numFmtId="165" formatCode="[$-F800]dddd\,\ mmmm\ dd\,\ yyyy"/>
  </numFmts>
  <fonts count="53" x14ac:knownFonts="1">
    <font>
      <sz val="11"/>
      <color theme="1"/>
      <name val="Calibri"/>
      <family val="2"/>
      <scheme val="minor"/>
    </font>
    <font>
      <sz val="12"/>
      <color theme="1"/>
      <name val="Arial"/>
      <family val="2"/>
    </font>
    <font>
      <sz val="11"/>
      <color theme="1"/>
      <name val="Calibri"/>
      <family val="2"/>
      <scheme val="minor"/>
    </font>
    <font>
      <b/>
      <sz val="11"/>
      <color theme="1"/>
      <name val="Arial"/>
      <family val="2"/>
    </font>
    <font>
      <u/>
      <sz val="10"/>
      <color theme="10"/>
      <name val="Arial"/>
      <family val="2"/>
    </font>
    <font>
      <sz val="11"/>
      <color theme="1"/>
      <name val="Arial"/>
      <family val="2"/>
    </font>
    <font>
      <sz val="9"/>
      <color theme="1"/>
      <name val="Arial"/>
      <family val="2"/>
    </font>
    <font>
      <sz val="9"/>
      <color rgb="FFFF0000"/>
      <name val="Arial"/>
      <family val="2"/>
    </font>
    <font>
      <sz val="11"/>
      <name val="Arial"/>
      <family val="2"/>
    </font>
    <font>
      <b/>
      <sz val="11"/>
      <color rgb="FFC00000"/>
      <name val="Arial"/>
      <family val="2"/>
    </font>
    <font>
      <sz val="11"/>
      <color rgb="FFC00000"/>
      <name val="Arial"/>
      <family val="2"/>
    </font>
    <font>
      <sz val="9"/>
      <color rgb="FFC00000"/>
      <name val="Arial"/>
      <family val="2"/>
    </font>
    <font>
      <b/>
      <sz val="11"/>
      <name val="Arial"/>
      <family val="2"/>
    </font>
    <font>
      <sz val="11"/>
      <color theme="0"/>
      <name val="Arial"/>
      <family val="2"/>
    </font>
    <font>
      <b/>
      <sz val="11"/>
      <color rgb="FF000000"/>
      <name val="Arial"/>
      <family val="2"/>
    </font>
    <font>
      <b/>
      <sz val="11"/>
      <color rgb="FFFFFFFF"/>
      <name val="Arial"/>
      <family val="2"/>
    </font>
    <font>
      <u/>
      <sz val="10"/>
      <color rgb="FF0000FF"/>
      <name val="Arial"/>
      <family val="2"/>
    </font>
    <font>
      <u/>
      <sz val="11"/>
      <color rgb="FF0000FF"/>
      <name val="Arial"/>
      <family val="2"/>
    </font>
    <font>
      <sz val="11"/>
      <color rgb="FF000000"/>
      <name val="Arial"/>
      <family val="2"/>
    </font>
    <font>
      <sz val="9"/>
      <color rgb="FF000000"/>
      <name val="Arial"/>
      <family val="2"/>
    </font>
    <font>
      <sz val="10"/>
      <color theme="1"/>
      <name val="Arial"/>
      <family val="2"/>
    </font>
    <font>
      <b/>
      <sz val="10"/>
      <color theme="1"/>
      <name val="Arial"/>
      <family val="2"/>
    </font>
    <font>
      <b/>
      <sz val="12"/>
      <color theme="1"/>
      <name val="Arial"/>
      <family val="2"/>
    </font>
    <font>
      <b/>
      <sz val="14"/>
      <color theme="1"/>
      <name val="Arial"/>
      <family val="2"/>
    </font>
    <font>
      <b/>
      <sz val="16"/>
      <color theme="1"/>
      <name val="Arial"/>
      <family val="2"/>
    </font>
    <font>
      <sz val="12"/>
      <color theme="1"/>
      <name val="Arial"/>
      <family val="2"/>
    </font>
    <font>
      <u/>
      <sz val="12"/>
      <color theme="1"/>
      <name val="Arial"/>
      <family val="2"/>
    </font>
    <font>
      <i/>
      <sz val="12"/>
      <color theme="1"/>
      <name val="Arial"/>
      <family val="2"/>
    </font>
    <font>
      <sz val="8"/>
      <color theme="1"/>
      <name val="Arial"/>
      <family val="2"/>
    </font>
    <font>
      <sz val="10"/>
      <name val="Arial"/>
      <family val="2"/>
    </font>
    <font>
      <b/>
      <sz val="11"/>
      <color rgb="FFFF0000"/>
      <name val="Arial"/>
      <family val="2"/>
    </font>
    <font>
      <i/>
      <sz val="10"/>
      <color theme="1"/>
      <name val="Arial"/>
      <family val="2"/>
    </font>
    <font>
      <b/>
      <u/>
      <sz val="12"/>
      <color theme="1"/>
      <name val="Arial"/>
      <family val="2"/>
    </font>
    <font>
      <b/>
      <sz val="8"/>
      <color theme="1"/>
      <name val="Arial"/>
      <family val="2"/>
    </font>
    <font>
      <sz val="6"/>
      <color theme="1"/>
      <name val="Arial"/>
      <family val="2"/>
    </font>
    <font>
      <b/>
      <sz val="10"/>
      <color rgb="FFFF0000"/>
      <name val="Arial"/>
      <family val="2"/>
    </font>
    <font>
      <b/>
      <sz val="10"/>
      <name val="Arial"/>
      <family val="2"/>
    </font>
    <font>
      <b/>
      <sz val="10"/>
      <color indexed="8"/>
      <name val="Arial"/>
      <family val="2"/>
    </font>
    <font>
      <sz val="10"/>
      <color indexed="8"/>
      <name val="Arial"/>
      <family val="2"/>
    </font>
    <font>
      <sz val="8"/>
      <name val="Tahoma"/>
      <family val="2"/>
    </font>
    <font>
      <sz val="8"/>
      <color rgb="FF000000"/>
      <name val="Tahoma"/>
      <family val="2"/>
    </font>
    <font>
      <b/>
      <sz val="9"/>
      <color theme="1"/>
      <name val="Arial"/>
      <family val="2"/>
    </font>
    <font>
      <u/>
      <sz val="10"/>
      <color theme="1"/>
      <name val="Arial"/>
      <family val="2"/>
    </font>
    <font>
      <sz val="10"/>
      <color theme="10"/>
      <name val="Arial"/>
      <family val="2"/>
    </font>
    <font>
      <b/>
      <i/>
      <sz val="10"/>
      <name val="Tahoma"/>
      <family val="2"/>
    </font>
    <font>
      <sz val="10"/>
      <name val="Tahoma"/>
      <family val="2"/>
    </font>
    <font>
      <sz val="9"/>
      <name val="Tahoma"/>
      <family val="2"/>
    </font>
    <font>
      <b/>
      <sz val="9"/>
      <name val="Tahoma"/>
      <family val="2"/>
    </font>
    <font>
      <sz val="8.5"/>
      <name val="Tahoma"/>
      <family val="2"/>
    </font>
    <font>
      <b/>
      <sz val="12"/>
      <name val="Tahoma"/>
      <family val="2"/>
    </font>
    <font>
      <b/>
      <sz val="11"/>
      <color rgb="FFFF0000"/>
      <name val="Tahoma"/>
      <family val="2"/>
    </font>
    <font>
      <sz val="11"/>
      <color theme="0"/>
      <name val="Calibri"/>
      <family val="2"/>
      <scheme val="minor"/>
    </font>
    <font>
      <sz val="11"/>
      <name val="Calibri"/>
      <family val="2"/>
      <scheme val="minor"/>
    </font>
  </fonts>
  <fills count="17">
    <fill>
      <patternFill patternType="none"/>
    </fill>
    <fill>
      <patternFill patternType="gray125"/>
    </fill>
    <fill>
      <patternFill patternType="solid">
        <fgColor theme="4" tint="0.39997558519241921"/>
        <bgColor indexed="64"/>
      </patternFill>
    </fill>
    <fill>
      <patternFill patternType="solid">
        <fgColor theme="0" tint="-0.14999847407452621"/>
        <bgColor indexed="64"/>
      </patternFill>
    </fill>
    <fill>
      <patternFill patternType="solid">
        <fgColor theme="2" tint="0.59999389629810485"/>
        <bgColor indexed="64"/>
      </patternFill>
    </fill>
    <fill>
      <patternFill patternType="solid">
        <fgColor rgb="FF000000"/>
        <bgColor rgb="FF000000"/>
      </patternFill>
    </fill>
    <fill>
      <patternFill patternType="solid">
        <fgColor rgb="FF55C8FF"/>
        <bgColor rgb="FF000000"/>
      </patternFill>
    </fill>
    <fill>
      <patternFill patternType="solid">
        <fgColor rgb="FFD9D9D9"/>
        <bgColor rgb="FF000000"/>
      </patternFill>
    </fill>
    <fill>
      <patternFill patternType="solid">
        <fgColor theme="8"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2" tint="0.39997558519241921"/>
        <bgColor indexed="64"/>
      </patternFill>
    </fill>
    <fill>
      <patternFill patternType="solid">
        <fgColor rgb="FF92D050"/>
        <bgColor indexed="64"/>
      </patternFill>
    </fill>
    <fill>
      <patternFill patternType="solid">
        <fgColor indexed="9"/>
        <bgColor indexed="64"/>
      </patternFill>
    </fill>
    <fill>
      <patternFill patternType="solid">
        <fgColor theme="1"/>
        <bgColor indexed="64"/>
      </patternFill>
    </fill>
    <fill>
      <patternFill patternType="solid">
        <fgColor indexed="43"/>
        <bgColor indexed="64"/>
      </patternFill>
    </fill>
    <fill>
      <patternFill patternType="solid">
        <fgColor rgb="FFFFFF99"/>
        <bgColor indexed="64"/>
      </patternFill>
    </fill>
  </fills>
  <borders count="66">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indexed="8"/>
      </left>
      <right style="thin">
        <color indexed="8"/>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style="thin">
        <color indexed="64"/>
      </right>
      <top/>
      <bottom/>
      <diagonal/>
    </border>
    <border>
      <left style="thin">
        <color auto="1"/>
      </left>
      <right style="thin">
        <color auto="1"/>
      </right>
      <top/>
      <bottom style="thin">
        <color auto="1"/>
      </bottom>
      <diagonal/>
    </border>
    <border>
      <left style="thin">
        <color indexed="64"/>
      </left>
      <right/>
      <top/>
      <bottom/>
      <diagonal/>
    </border>
    <border>
      <left style="thin">
        <color indexed="64"/>
      </left>
      <right style="thin">
        <color indexed="64"/>
      </right>
      <top style="medium">
        <color indexed="64"/>
      </top>
      <bottom/>
      <diagonal/>
    </border>
  </borders>
  <cellStyleXfs count="11">
    <xf numFmtId="0" fontId="0" fillId="0" borderId="0"/>
    <xf numFmtId="0" fontId="2" fillId="0" borderId="0"/>
    <xf numFmtId="0" fontId="4" fillId="0" borderId="0" applyNumberFormat="0" applyFill="0" applyBorder="0" applyAlignment="0" applyProtection="0">
      <alignment vertical="top"/>
      <protection locked="0"/>
    </xf>
    <xf numFmtId="0" fontId="20" fillId="0" borderId="0"/>
    <xf numFmtId="9" fontId="20" fillId="0" borderId="0" applyFont="0" applyFill="0" applyBorder="0" applyAlignment="0" applyProtection="0"/>
    <xf numFmtId="44" fontId="20" fillId="0" borderId="0" applyFont="0" applyFill="0" applyBorder="0" applyAlignment="0" applyProtection="0"/>
    <xf numFmtId="0" fontId="29" fillId="0" borderId="0"/>
    <xf numFmtId="43" fontId="29" fillId="0" borderId="0" applyFont="0" applyFill="0" applyBorder="0" applyAlignment="0" applyProtection="0"/>
    <xf numFmtId="44" fontId="29" fillId="0" borderId="0" applyFont="0" applyFill="0" applyBorder="0" applyAlignment="0" applyProtection="0"/>
    <xf numFmtId="9" fontId="29" fillId="0" borderId="0" applyFont="0" applyFill="0" applyBorder="0" applyAlignment="0" applyProtection="0"/>
    <xf numFmtId="0" fontId="4" fillId="0" borderId="0" applyNumberFormat="0" applyFill="0" applyBorder="0" applyAlignment="0" applyProtection="0"/>
  </cellStyleXfs>
  <cellXfs count="839">
    <xf numFmtId="0" fontId="0" fillId="0" borderId="0" xfId="0"/>
    <xf numFmtId="0" fontId="17" fillId="0" borderId="3" xfId="2" applyFont="1" applyFill="1" applyBorder="1" applyAlignment="1" applyProtection="1">
      <alignment horizontal="left"/>
      <protection locked="0"/>
    </xf>
    <xf numFmtId="0" fontId="4" fillId="3" borderId="3" xfId="2" applyFill="1" applyBorder="1" applyAlignment="1" applyProtection="1">
      <alignment horizontal="left"/>
      <protection locked="0"/>
    </xf>
    <xf numFmtId="0" fontId="4" fillId="0" borderId="7" xfId="2" applyFill="1" applyBorder="1" applyAlignment="1" applyProtection="1">
      <alignment horizontal="left"/>
      <protection locked="0"/>
    </xf>
    <xf numFmtId="0" fontId="20" fillId="0" borderId="0" xfId="3"/>
    <xf numFmtId="0" fontId="3" fillId="0" borderId="0" xfId="1" applyFont="1" applyAlignment="1">
      <alignment horizontal="left"/>
    </xf>
    <xf numFmtId="165" fontId="5" fillId="0" borderId="0" xfId="1" applyNumberFormat="1" applyFont="1" applyAlignment="1">
      <alignment horizontal="right"/>
    </xf>
    <xf numFmtId="0" fontId="28" fillId="0" borderId="0" xfId="1" applyFont="1" applyAlignment="1">
      <alignment horizontal="right"/>
    </xf>
    <xf numFmtId="0" fontId="30" fillId="0" borderId="0" xfId="1" applyFont="1" applyAlignment="1">
      <alignment horizontal="left"/>
    </xf>
    <xf numFmtId="0" fontId="4" fillId="0" borderId="16" xfId="2" applyBorder="1" applyAlignment="1" applyProtection="1">
      <alignment horizontal="left"/>
      <protection locked="0"/>
    </xf>
    <xf numFmtId="0" fontId="4" fillId="7" borderId="3" xfId="2" applyFill="1" applyBorder="1" applyAlignment="1" applyProtection="1">
      <alignment horizontal="left"/>
      <protection locked="0"/>
    </xf>
    <xf numFmtId="0" fontId="4" fillId="0" borderId="3" xfId="2" applyBorder="1" applyAlignment="1" applyProtection="1">
      <alignment horizontal="left"/>
      <protection locked="0"/>
    </xf>
    <xf numFmtId="0" fontId="4" fillId="3" borderId="16" xfId="2" applyFill="1" applyBorder="1" applyAlignment="1" applyProtection="1">
      <alignment horizontal="left"/>
      <protection locked="0"/>
    </xf>
    <xf numFmtId="0" fontId="4" fillId="0" borderId="3" xfId="2" applyFill="1" applyBorder="1" applyAlignment="1" applyProtection="1">
      <alignment horizontal="left"/>
      <protection locked="0"/>
    </xf>
    <xf numFmtId="0" fontId="20" fillId="0" borderId="0" xfId="3"/>
    <xf numFmtId="0" fontId="5" fillId="0" borderId="0" xfId="1" applyFont="1" applyAlignment="1">
      <alignment horizontal="left"/>
    </xf>
    <xf numFmtId="0" fontId="3" fillId="0" borderId="0" xfId="1" applyFont="1" applyAlignment="1">
      <alignment horizontal="left"/>
    </xf>
    <xf numFmtId="0" fontId="3" fillId="12" borderId="0" xfId="1" applyFont="1" applyFill="1" applyAlignment="1">
      <alignment horizontal="left"/>
    </xf>
    <xf numFmtId="0" fontId="30" fillId="0" borderId="0" xfId="1" applyFont="1" applyAlignment="1">
      <alignment horizontal="left"/>
    </xf>
    <xf numFmtId="0" fontId="14" fillId="0" borderId="0" xfId="1" applyFont="1" applyFill="1" applyBorder="1" applyAlignment="1" applyProtection="1">
      <alignment horizontal="left" vertical="center"/>
    </xf>
    <xf numFmtId="0" fontId="14" fillId="0" borderId="0" xfId="1" applyFont="1" applyFill="1" applyBorder="1" applyAlignment="1" applyProtection="1">
      <alignment horizontal="center"/>
    </xf>
    <xf numFmtId="0" fontId="14" fillId="0" borderId="0" xfId="1" applyFont="1" applyFill="1" applyBorder="1" applyAlignment="1" applyProtection="1">
      <alignment horizontal="left" wrapText="1"/>
    </xf>
    <xf numFmtId="0" fontId="0" fillId="0" borderId="0" xfId="0" applyProtection="1"/>
    <xf numFmtId="0" fontId="15" fillId="5" borderId="1" xfId="1" applyFont="1" applyFill="1" applyBorder="1" applyAlignment="1" applyProtection="1">
      <alignment horizontal="center" vertical="center" wrapText="1"/>
    </xf>
    <xf numFmtId="0" fontId="14" fillId="6" borderId="2" xfId="1" applyFont="1" applyFill="1" applyBorder="1" applyAlignment="1" applyProtection="1">
      <alignment horizontal="center" vertical="center" wrapText="1"/>
    </xf>
    <xf numFmtId="0" fontId="15" fillId="6" borderId="3" xfId="1"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4" fillId="0" borderId="7" xfId="1" applyFont="1" applyFill="1" applyBorder="1" applyAlignment="1" applyProtection="1">
      <alignment horizontal="center"/>
    </xf>
    <xf numFmtId="9" fontId="18" fillId="0" borderId="3" xfId="0" applyNumberFormat="1" applyFont="1" applyFill="1" applyBorder="1" applyAlignment="1" applyProtection="1">
      <alignment horizontal="center"/>
    </xf>
    <xf numFmtId="164" fontId="18" fillId="0" borderId="3" xfId="0" applyNumberFormat="1" applyFont="1" applyFill="1" applyBorder="1" applyAlignment="1" applyProtection="1">
      <alignment horizontal="center"/>
    </xf>
    <xf numFmtId="0" fontId="18" fillId="0" borderId="3" xfId="0" applyFont="1" applyFill="1" applyBorder="1" applyAlignment="1" applyProtection="1">
      <alignment horizontal="center"/>
    </xf>
    <xf numFmtId="0" fontId="19" fillId="0" borderId="3" xfId="1" applyFont="1" applyFill="1" applyBorder="1" applyAlignment="1" applyProtection="1">
      <alignment horizontal="left" wrapText="1"/>
    </xf>
    <xf numFmtId="0" fontId="14" fillId="7" borderId="3" xfId="1" applyFont="1" applyFill="1" applyBorder="1" applyAlignment="1" applyProtection="1">
      <alignment horizontal="center"/>
    </xf>
    <xf numFmtId="9" fontId="18" fillId="7" borderId="3" xfId="0" applyNumberFormat="1" applyFont="1" applyFill="1" applyBorder="1" applyAlignment="1" applyProtection="1">
      <alignment horizontal="center"/>
    </xf>
    <xf numFmtId="164" fontId="18" fillId="7" borderId="3" xfId="0" applyNumberFormat="1" applyFont="1" applyFill="1" applyBorder="1" applyAlignment="1" applyProtection="1">
      <alignment horizontal="center"/>
    </xf>
    <xf numFmtId="0" fontId="18" fillId="7" borderId="3" xfId="0" applyFont="1" applyFill="1" applyBorder="1" applyAlignment="1" applyProtection="1">
      <alignment horizontal="center"/>
    </xf>
    <xf numFmtId="0" fontId="7" fillId="7" borderId="3" xfId="0" applyFont="1" applyFill="1" applyBorder="1" applyAlignment="1" applyProtection="1">
      <alignment horizontal="left" wrapText="1"/>
    </xf>
    <xf numFmtId="0" fontId="14" fillId="0" borderId="3" xfId="1" applyFont="1" applyFill="1" applyBorder="1" applyAlignment="1" applyProtection="1">
      <alignment horizontal="center"/>
    </xf>
    <xf numFmtId="0" fontId="19" fillId="0" borderId="3" xfId="0" applyFont="1" applyFill="1" applyBorder="1" applyAlignment="1" applyProtection="1">
      <alignment horizontal="left" wrapText="1"/>
    </xf>
    <xf numFmtId="0" fontId="19" fillId="7" borderId="3" xfId="1" applyFont="1" applyFill="1" applyBorder="1" applyAlignment="1" applyProtection="1">
      <alignment horizontal="left" wrapText="1"/>
    </xf>
    <xf numFmtId="0" fontId="19" fillId="7" borderId="3" xfId="0" applyFont="1" applyFill="1" applyBorder="1" applyAlignment="1" applyProtection="1">
      <alignment horizontal="left" wrapText="1"/>
    </xf>
    <xf numFmtId="0" fontId="9" fillId="7" borderId="3" xfId="1" applyFont="1" applyFill="1" applyBorder="1" applyAlignment="1" applyProtection="1">
      <alignment horizontal="center"/>
    </xf>
    <xf numFmtId="9" fontId="10" fillId="7" borderId="3" xfId="0" applyNumberFormat="1" applyFont="1" applyFill="1" applyBorder="1" applyAlignment="1" applyProtection="1">
      <alignment horizontal="center"/>
    </xf>
    <xf numFmtId="0" fontId="11" fillId="7" borderId="3" xfId="0" applyFont="1" applyFill="1" applyBorder="1" applyAlignment="1" applyProtection="1">
      <alignment horizontal="left" wrapText="1"/>
    </xf>
    <xf numFmtId="0" fontId="3" fillId="0" borderId="3" xfId="1" applyFont="1" applyBorder="1" applyAlignment="1" applyProtection="1">
      <alignment horizontal="center"/>
    </xf>
    <xf numFmtId="9" fontId="5" fillId="0" borderId="3" xfId="0" applyNumberFormat="1" applyFont="1" applyBorder="1" applyAlignment="1" applyProtection="1">
      <alignment horizontal="center"/>
    </xf>
    <xf numFmtId="164" fontId="5" fillId="0" borderId="3" xfId="0" applyNumberFormat="1" applyFont="1" applyBorder="1" applyAlignment="1" applyProtection="1">
      <alignment horizontal="center"/>
    </xf>
    <xf numFmtId="0" fontId="5" fillId="0" borderId="3" xfId="0" applyFont="1" applyBorder="1" applyAlignment="1" applyProtection="1">
      <alignment horizontal="center"/>
    </xf>
    <xf numFmtId="0" fontId="6" fillId="0" borderId="3" xfId="0" applyFont="1" applyBorder="1" applyAlignment="1" applyProtection="1">
      <alignment horizontal="left" wrapText="1"/>
    </xf>
    <xf numFmtId="0" fontId="3" fillId="3" borderId="3" xfId="1" applyFont="1" applyFill="1" applyBorder="1" applyAlignment="1" applyProtection="1">
      <alignment horizontal="center"/>
    </xf>
    <xf numFmtId="9" fontId="5" fillId="3" borderId="3" xfId="0" applyNumberFormat="1" applyFont="1" applyFill="1" applyBorder="1" applyAlignment="1" applyProtection="1">
      <alignment horizontal="center"/>
    </xf>
    <xf numFmtId="164" fontId="5" fillId="3" borderId="3" xfId="0" applyNumberFormat="1" applyFont="1" applyFill="1" applyBorder="1" applyAlignment="1" applyProtection="1">
      <alignment horizontal="center"/>
    </xf>
    <xf numFmtId="0" fontId="5" fillId="3" borderId="3" xfId="0" applyFont="1" applyFill="1" applyBorder="1" applyAlignment="1" applyProtection="1">
      <alignment horizontal="center"/>
    </xf>
    <xf numFmtId="0" fontId="6" fillId="3" borderId="3" xfId="0" applyFont="1" applyFill="1" applyBorder="1" applyAlignment="1" applyProtection="1">
      <alignment horizontal="left" wrapText="1"/>
    </xf>
    <xf numFmtId="0" fontId="9" fillId="0" borderId="3" xfId="1" applyFont="1" applyBorder="1" applyAlignment="1" applyProtection="1">
      <alignment horizontal="center"/>
    </xf>
    <xf numFmtId="9" fontId="10" fillId="0" borderId="3" xfId="0" applyNumberFormat="1" applyFont="1" applyBorder="1" applyAlignment="1" applyProtection="1">
      <alignment horizontal="center"/>
    </xf>
    <xf numFmtId="164" fontId="10" fillId="0" borderId="3" xfId="0" applyNumberFormat="1" applyFont="1" applyBorder="1" applyAlignment="1" applyProtection="1">
      <alignment horizontal="center"/>
    </xf>
    <xf numFmtId="0" fontId="10" fillId="0" borderId="3" xfId="0" applyFont="1" applyBorder="1" applyAlignment="1" applyProtection="1">
      <alignment horizontal="center"/>
    </xf>
    <xf numFmtId="0" fontId="11" fillId="0" borderId="3" xfId="0" applyFont="1" applyBorder="1" applyAlignment="1" applyProtection="1">
      <alignment horizontal="left" wrapText="1"/>
    </xf>
    <xf numFmtId="0" fontId="9" fillId="3" borderId="3" xfId="1" applyFont="1" applyFill="1" applyBorder="1" applyAlignment="1" applyProtection="1">
      <alignment horizontal="center"/>
    </xf>
    <xf numFmtId="0" fontId="10" fillId="3" borderId="3" xfId="1" applyFont="1" applyFill="1" applyBorder="1" applyAlignment="1" applyProtection="1">
      <alignment horizontal="left"/>
    </xf>
    <xf numFmtId="9" fontId="10" fillId="3" borderId="3" xfId="0" applyNumberFormat="1" applyFont="1" applyFill="1" applyBorder="1" applyAlignment="1" applyProtection="1">
      <alignment horizontal="center"/>
    </xf>
    <xf numFmtId="164" fontId="10" fillId="3" borderId="3" xfId="0" applyNumberFormat="1" applyFont="1" applyFill="1" applyBorder="1" applyAlignment="1" applyProtection="1">
      <alignment horizontal="center"/>
    </xf>
    <xf numFmtId="0" fontId="10" fillId="3" borderId="3" xfId="0" applyFont="1" applyFill="1" applyBorder="1" applyAlignment="1" applyProtection="1">
      <alignment horizontal="center"/>
    </xf>
    <xf numFmtId="0" fontId="11" fillId="3" borderId="3" xfId="0" applyFont="1" applyFill="1" applyBorder="1" applyAlignment="1" applyProtection="1">
      <alignment horizontal="left" wrapText="1"/>
    </xf>
    <xf numFmtId="0" fontId="10" fillId="3" borderId="3" xfId="1" applyFont="1" applyFill="1" applyBorder="1" applyAlignment="1" applyProtection="1">
      <alignment horizontal="center"/>
    </xf>
    <xf numFmtId="0" fontId="11" fillId="3" borderId="3" xfId="1" applyFont="1" applyFill="1" applyBorder="1" applyAlignment="1" applyProtection="1">
      <alignment horizontal="left" wrapText="1"/>
    </xf>
    <xf numFmtId="0" fontId="10" fillId="0" borderId="3" xfId="1" applyFont="1" applyBorder="1" applyAlignment="1" applyProtection="1">
      <alignment horizontal="center"/>
    </xf>
    <xf numFmtId="0" fontId="11" fillId="0" borderId="3" xfId="1" applyFont="1" applyBorder="1" applyAlignment="1" applyProtection="1">
      <alignment horizontal="left" wrapText="1"/>
    </xf>
    <xf numFmtId="0" fontId="3" fillId="0" borderId="0" xfId="1" applyFont="1" applyAlignment="1" applyProtection="1">
      <alignment horizontal="center"/>
    </xf>
    <xf numFmtId="0" fontId="5" fillId="0" borderId="0" xfId="1" applyFont="1" applyProtection="1"/>
    <xf numFmtId="0" fontId="5" fillId="0" borderId="0" xfId="1" applyFont="1" applyAlignment="1" applyProtection="1">
      <alignment horizontal="center"/>
    </xf>
    <xf numFmtId="0" fontId="5" fillId="0" borderId="0" xfId="1" applyFont="1" applyAlignment="1" applyProtection="1">
      <alignment horizontal="left" wrapText="1"/>
    </xf>
    <xf numFmtId="0" fontId="0" fillId="0" borderId="0" xfId="0" applyFill="1" applyAlignment="1" applyProtection="1">
      <alignment wrapText="1"/>
    </xf>
    <xf numFmtId="0" fontId="3" fillId="2" borderId="4" xfId="1" applyFont="1" applyFill="1" applyBorder="1" applyAlignment="1" applyProtection="1">
      <alignment horizontal="center" wrapText="1"/>
    </xf>
    <xf numFmtId="0" fontId="3" fillId="2" borderId="5" xfId="1" applyFont="1" applyFill="1" applyBorder="1" applyAlignment="1" applyProtection="1">
      <alignment horizontal="center" wrapText="1"/>
    </xf>
    <xf numFmtId="0" fontId="3" fillId="2" borderId="6" xfId="1" applyFont="1" applyFill="1" applyBorder="1" applyAlignment="1" applyProtection="1">
      <alignment horizontal="center" wrapText="1"/>
    </xf>
    <xf numFmtId="0" fontId="3" fillId="0" borderId="8" xfId="0" applyFont="1" applyBorder="1" applyAlignment="1" applyProtection="1">
      <alignment horizontal="left"/>
    </xf>
    <xf numFmtId="0" fontId="5" fillId="0" borderId="3" xfId="1" applyFont="1" applyBorder="1" applyAlignment="1" applyProtection="1">
      <alignment horizontal="center"/>
    </xf>
    <xf numFmtId="0" fontId="5" fillId="0" borderId="9" xfId="0" applyFont="1" applyBorder="1" applyAlignment="1" applyProtection="1">
      <alignment horizontal="center"/>
    </xf>
    <xf numFmtId="0" fontId="3" fillId="0" borderId="8" xfId="0" applyFont="1" applyBorder="1" applyAlignment="1" applyProtection="1">
      <alignment horizontal="left" wrapText="1"/>
    </xf>
    <xf numFmtId="0" fontId="5" fillId="0" borderId="9" xfId="0" applyFont="1" applyBorder="1" applyAlignment="1" applyProtection="1">
      <alignment horizontal="center" wrapText="1"/>
    </xf>
    <xf numFmtId="0" fontId="3" fillId="0" borderId="10" xfId="0" applyFont="1" applyBorder="1" applyAlignment="1" applyProtection="1">
      <alignment horizontal="left"/>
    </xf>
    <xf numFmtId="0" fontId="5" fillId="0" borderId="11" xfId="1" applyFont="1" applyBorder="1" applyAlignment="1" applyProtection="1">
      <alignment horizontal="center"/>
    </xf>
    <xf numFmtId="0" fontId="5" fillId="0" borderId="12" xfId="0" applyFont="1" applyBorder="1" applyAlignment="1" applyProtection="1">
      <alignment horizontal="center"/>
    </xf>
    <xf numFmtId="0" fontId="8" fillId="0" borderId="0" xfId="1" applyFont="1" applyFill="1" applyProtection="1"/>
    <xf numFmtId="0" fontId="0" fillId="0" borderId="0" xfId="0" applyAlignment="1" applyProtection="1">
      <alignment wrapText="1"/>
    </xf>
    <xf numFmtId="0" fontId="16" fillId="0" borderId="3" xfId="2" applyFont="1" applyFill="1" applyBorder="1" applyAlignment="1" applyProtection="1">
      <alignment horizontal="left" wrapText="1"/>
      <protection locked="0"/>
    </xf>
    <xf numFmtId="0" fontId="16" fillId="7" borderId="3" xfId="2" applyFont="1" applyFill="1" applyBorder="1" applyAlignment="1" applyProtection="1">
      <alignment horizontal="left" wrapText="1"/>
      <protection locked="0"/>
    </xf>
    <xf numFmtId="0" fontId="4" fillId="0" borderId="3" xfId="2" applyBorder="1" applyAlignment="1" applyProtection="1">
      <alignment horizontal="left" wrapText="1"/>
      <protection locked="0"/>
    </xf>
    <xf numFmtId="0" fontId="4" fillId="3" borderId="3" xfId="2" applyFill="1" applyBorder="1" applyAlignment="1" applyProtection="1">
      <alignment horizontal="left" wrapText="1"/>
      <protection locked="0"/>
    </xf>
    <xf numFmtId="0" fontId="4" fillId="10" borderId="3" xfId="2" applyFill="1" applyBorder="1" applyAlignment="1" applyProtection="1">
      <alignment horizontal="left"/>
      <protection locked="0"/>
    </xf>
    <xf numFmtId="0" fontId="25" fillId="0" borderId="0" xfId="3" applyFont="1" applyProtection="1"/>
    <xf numFmtId="0" fontId="20" fillId="0" borderId="0" xfId="3" applyProtection="1"/>
    <xf numFmtId="0" fontId="25" fillId="0" borderId="0" xfId="3" applyFont="1" applyBorder="1" applyAlignment="1" applyProtection="1"/>
    <xf numFmtId="14" fontId="20" fillId="0" borderId="0" xfId="3" applyNumberFormat="1" applyFont="1" applyBorder="1" applyAlignment="1" applyProtection="1"/>
    <xf numFmtId="0" fontId="22" fillId="0" borderId="23" xfId="3" applyFont="1" applyBorder="1" applyAlignment="1" applyProtection="1">
      <alignment horizontal="center"/>
    </xf>
    <xf numFmtId="0" fontId="22" fillId="0" borderId="0" xfId="3" applyFont="1" applyBorder="1" applyAlignment="1" applyProtection="1">
      <alignment horizontal="center"/>
    </xf>
    <xf numFmtId="0" fontId="27" fillId="0" borderId="34" xfId="3" applyFont="1" applyBorder="1" applyAlignment="1" applyProtection="1">
      <alignment vertical="center" wrapText="1"/>
    </xf>
    <xf numFmtId="0" fontId="25" fillId="0" borderId="0" xfId="3" applyFont="1" applyAlignment="1" applyProtection="1">
      <alignment horizontal="right" vertical="center"/>
    </xf>
    <xf numFmtId="0" fontId="25" fillId="0" borderId="0" xfId="3" applyFont="1" applyAlignment="1" applyProtection="1">
      <alignment wrapText="1"/>
    </xf>
    <xf numFmtId="0" fontId="20" fillId="0" borderId="0" xfId="3" applyFont="1" applyBorder="1" applyAlignment="1" applyProtection="1"/>
    <xf numFmtId="0" fontId="20" fillId="0" borderId="0" xfId="3"/>
    <xf numFmtId="0" fontId="20" fillId="0" borderId="0" xfId="3" applyFont="1"/>
    <xf numFmtId="0" fontId="36" fillId="0" borderId="0" xfId="3" applyFont="1" applyFill="1" applyBorder="1" applyAlignment="1">
      <alignment horizontal="center"/>
    </xf>
    <xf numFmtId="0" fontId="20" fillId="0" borderId="0" xfId="3" applyFill="1" applyBorder="1" applyAlignment="1">
      <alignment horizontal="center"/>
    </xf>
    <xf numFmtId="0" fontId="20" fillId="0" borderId="0" xfId="3" applyFill="1" applyBorder="1" applyAlignment="1">
      <alignment vertical="top" wrapText="1"/>
    </xf>
    <xf numFmtId="0" fontId="38" fillId="13" borderId="50" xfId="3" applyFont="1" applyFill="1" applyBorder="1" applyAlignment="1">
      <alignment horizontal="center" wrapText="1"/>
    </xf>
    <xf numFmtId="2" fontId="38" fillId="13" borderId="50" xfId="3" applyNumberFormat="1" applyFont="1" applyFill="1" applyBorder="1" applyAlignment="1">
      <alignment horizontal="center" wrapText="1"/>
    </xf>
    <xf numFmtId="0" fontId="29" fillId="0" borderId="0" xfId="3" applyFont="1" applyFill="1" applyBorder="1" applyAlignment="1">
      <alignment vertical="top" wrapText="1"/>
    </xf>
    <xf numFmtId="0" fontId="37" fillId="13" borderId="50" xfId="3" applyFont="1" applyFill="1" applyBorder="1" applyAlignment="1">
      <alignment horizontal="center" vertical="center" wrapText="1"/>
    </xf>
    <xf numFmtId="0" fontId="35" fillId="0" borderId="0" xfId="3" applyFont="1" applyAlignment="1">
      <alignment horizontal="left" vertical="top" wrapText="1"/>
    </xf>
    <xf numFmtId="0" fontId="0" fillId="0" borderId="21" xfId="0" applyBorder="1"/>
    <xf numFmtId="0" fontId="35" fillId="0" borderId="0" xfId="3" applyFont="1" applyAlignment="1">
      <alignment vertical="top" wrapText="1"/>
    </xf>
    <xf numFmtId="14" fontId="25" fillId="0" borderId="25" xfId="3" applyNumberFormat="1" applyFont="1" applyBorder="1" applyAlignment="1">
      <alignment horizontal="center"/>
    </xf>
    <xf numFmtId="0" fontId="33" fillId="0" borderId="24" xfId="3" applyFont="1" applyBorder="1" applyAlignment="1">
      <alignment horizontal="right" wrapText="1"/>
    </xf>
    <xf numFmtId="0" fontId="33" fillId="0" borderId="25" xfId="3" applyFont="1" applyBorder="1" applyAlignment="1">
      <alignment horizontal="right" wrapText="1"/>
    </xf>
    <xf numFmtId="14" fontId="25" fillId="0" borderId="25" xfId="3" applyNumberFormat="1" applyFont="1" applyBorder="1" applyAlignment="1" applyProtection="1">
      <alignment horizontal="center"/>
    </xf>
    <xf numFmtId="0" fontId="25" fillId="0" borderId="0" xfId="3" applyFont="1" applyAlignment="1" applyProtection="1">
      <alignment horizontal="left" vertical="center"/>
    </xf>
    <xf numFmtId="0" fontId="21" fillId="0" borderId="34" xfId="3" applyFont="1" applyBorder="1" applyAlignment="1">
      <alignment wrapText="1"/>
    </xf>
    <xf numFmtId="0" fontId="21" fillId="0" borderId="0" xfId="3" applyFont="1" applyFill="1" applyBorder="1" applyAlignment="1">
      <alignment wrapText="1"/>
    </xf>
    <xf numFmtId="0" fontId="20" fillId="0" borderId="21" xfId="3" applyBorder="1"/>
    <xf numFmtId="0" fontId="21" fillId="0" borderId="0" xfId="3" applyFont="1" applyBorder="1" applyAlignment="1">
      <alignment horizontal="justify"/>
    </xf>
    <xf numFmtId="0" fontId="22" fillId="0" borderId="25" xfId="3" applyFont="1" applyBorder="1" applyAlignment="1">
      <alignment horizontal="justify"/>
    </xf>
    <xf numFmtId="0" fontId="21" fillId="0" borderId="24" xfId="3" applyFont="1" applyBorder="1" applyAlignment="1">
      <alignment horizontal="left" wrapText="1"/>
    </xf>
    <xf numFmtId="0" fontId="22" fillId="0" borderId="31" xfId="3" applyFont="1" applyBorder="1" applyAlignment="1" applyProtection="1"/>
    <xf numFmtId="14" fontId="22" fillId="0" borderId="0" xfId="3" applyNumberFormat="1" applyFont="1" applyBorder="1" applyAlignment="1" applyProtection="1">
      <alignment horizontal="center"/>
    </xf>
    <xf numFmtId="9" fontId="5" fillId="0" borderId="11" xfId="3" applyNumberFormat="1" applyFont="1" applyBorder="1" applyAlignment="1" applyProtection="1">
      <alignment horizontal="center" vertical="center"/>
    </xf>
    <xf numFmtId="0" fontId="20" fillId="14" borderId="0" xfId="3" applyFill="1" applyAlignment="1">
      <alignment horizontal="left"/>
    </xf>
    <xf numFmtId="0" fontId="20" fillId="14" borderId="0" xfId="3" applyFill="1" applyAlignment="1">
      <alignment horizontal="center" wrapText="1"/>
    </xf>
    <xf numFmtId="0" fontId="20" fillId="14" borderId="0" xfId="3" applyFill="1" applyAlignment="1"/>
    <xf numFmtId="0" fontId="20" fillId="14" borderId="0" xfId="3" applyFill="1"/>
    <xf numFmtId="0" fontId="20" fillId="0" borderId="31" xfId="3" applyFont="1" applyBorder="1" applyAlignment="1" applyProtection="1"/>
    <xf numFmtId="14" fontId="22" fillId="0" borderId="0" xfId="3" applyNumberFormat="1" applyFont="1" applyBorder="1" applyAlignment="1" applyProtection="1"/>
    <xf numFmtId="0" fontId="22" fillId="0" borderId="0" xfId="3" applyFont="1" applyBorder="1" applyAlignment="1" applyProtection="1"/>
    <xf numFmtId="9" fontId="25" fillId="0" borderId="4" xfId="3" applyNumberFormat="1" applyFont="1" applyBorder="1" applyAlignment="1" applyProtection="1">
      <alignment horizontal="center" vertical="center" wrapText="1"/>
    </xf>
    <xf numFmtId="9" fontId="25" fillId="0" borderId="8" xfId="3" applyNumberFormat="1" applyFont="1" applyBorder="1" applyAlignment="1" applyProtection="1">
      <alignment horizontal="center" vertical="center" wrapText="1"/>
    </xf>
    <xf numFmtId="9" fontId="5" fillId="0" borderId="8" xfId="3" applyNumberFormat="1" applyFont="1" applyBorder="1" applyAlignment="1" applyProtection="1">
      <alignment horizontal="center" vertical="center" wrapText="1"/>
    </xf>
    <xf numFmtId="9" fontId="5" fillId="0" borderId="8" xfId="3" quotePrefix="1" applyNumberFormat="1" applyFont="1" applyBorder="1" applyAlignment="1" applyProtection="1">
      <alignment horizontal="center" vertical="center" wrapText="1"/>
    </xf>
    <xf numFmtId="9" fontId="5" fillId="0" borderId="10" xfId="3" quotePrefix="1" applyNumberFormat="1" applyFont="1" applyBorder="1" applyAlignment="1" applyProtection="1">
      <alignment horizontal="center" vertical="center" wrapText="1"/>
    </xf>
    <xf numFmtId="9" fontId="25" fillId="0" borderId="8" xfId="3" quotePrefix="1" applyNumberFormat="1" applyFont="1" applyBorder="1" applyAlignment="1" applyProtection="1">
      <alignment horizontal="center" vertical="center" wrapText="1"/>
    </xf>
    <xf numFmtId="0" fontId="21" fillId="0" borderId="43" xfId="3" applyFont="1" applyFill="1" applyBorder="1" applyAlignment="1">
      <alignment wrapText="1"/>
    </xf>
    <xf numFmtId="9" fontId="20" fillId="0" borderId="25" xfId="3" applyNumberFormat="1" applyFont="1" applyBorder="1" applyAlignment="1">
      <alignment horizontal="center"/>
    </xf>
    <xf numFmtId="14" fontId="22" fillId="0" borderId="37" xfId="3" applyNumberFormat="1" applyFont="1" applyBorder="1" applyAlignment="1" applyProtection="1">
      <alignment horizontal="center"/>
    </xf>
    <xf numFmtId="0" fontId="20" fillId="0" borderId="0" xfId="3" applyBorder="1" applyProtection="1"/>
    <xf numFmtId="0" fontId="0" fillId="0" borderId="0" xfId="0" applyBorder="1" applyProtection="1"/>
    <xf numFmtId="0" fontId="0" fillId="0" borderId="0" xfId="0" applyBorder="1"/>
    <xf numFmtId="0" fontId="20" fillId="0" borderId="0" xfId="3"/>
    <xf numFmtId="0" fontId="33" fillId="0" borderId="25" xfId="3" applyFont="1" applyBorder="1" applyAlignment="1">
      <alignment wrapText="1"/>
    </xf>
    <xf numFmtId="0" fontId="5" fillId="10" borderId="0" xfId="3" applyFont="1" applyFill="1" applyBorder="1" applyAlignment="1">
      <alignment vertical="top" wrapText="1"/>
    </xf>
    <xf numFmtId="0" fontId="3" fillId="10" borderId="21" xfId="3" applyFont="1" applyFill="1" applyBorder="1" applyAlignment="1">
      <alignment horizontal="center" vertical="top" wrapText="1"/>
    </xf>
    <xf numFmtId="9" fontId="20" fillId="9" borderId="15" xfId="3" applyNumberFormat="1" applyFill="1" applyBorder="1" applyAlignment="1">
      <alignment horizontal="center" vertical="center" wrapText="1"/>
    </xf>
    <xf numFmtId="9" fontId="20" fillId="9" borderId="59" xfId="3" applyNumberFormat="1" applyFill="1" applyBorder="1" applyAlignment="1">
      <alignment horizontal="center" vertical="center" wrapText="1"/>
    </xf>
    <xf numFmtId="9" fontId="21" fillId="0" borderId="42" xfId="3" applyNumberFormat="1" applyFont="1" applyBorder="1" applyAlignment="1">
      <alignment horizontal="center" vertical="center"/>
    </xf>
    <xf numFmtId="9" fontId="21" fillId="0" borderId="43" xfId="3" applyNumberFormat="1" applyFont="1" applyBorder="1" applyAlignment="1">
      <alignment horizontal="center" vertical="center"/>
    </xf>
    <xf numFmtId="14" fontId="21" fillId="0" borderId="29" xfId="3" applyNumberFormat="1" applyFont="1" applyBorder="1" applyAlignment="1">
      <alignment horizontal="center" wrapText="1"/>
    </xf>
    <xf numFmtId="0" fontId="21" fillId="0" borderId="18" xfId="3" applyFont="1" applyBorder="1" applyAlignment="1">
      <alignment horizontal="center" wrapText="1"/>
    </xf>
    <xf numFmtId="0" fontId="21" fillId="0" borderId="42" xfId="3" applyFont="1" applyBorder="1" applyAlignment="1">
      <alignment horizontal="center" wrapText="1"/>
    </xf>
    <xf numFmtId="9" fontId="20" fillId="9" borderId="42" xfId="3" applyNumberFormat="1" applyFill="1" applyBorder="1" applyAlignment="1">
      <alignment horizontal="center" wrapText="1"/>
    </xf>
    <xf numFmtId="0" fontId="21" fillId="0" borderId="26" xfId="3" applyFont="1" applyBorder="1" applyAlignment="1">
      <alignment wrapText="1"/>
    </xf>
    <xf numFmtId="0" fontId="20" fillId="0" borderId="29" xfId="3" applyBorder="1"/>
    <xf numFmtId="0" fontId="20" fillId="0" borderId="25" xfId="3" applyBorder="1"/>
    <xf numFmtId="0" fontId="34" fillId="10" borderId="0" xfId="3" applyFont="1" applyFill="1" applyBorder="1" applyAlignment="1">
      <alignment horizontal="center" wrapText="1"/>
    </xf>
    <xf numFmtId="0" fontId="34" fillId="0" borderId="0" xfId="3" applyFont="1" applyFill="1" applyBorder="1" applyAlignment="1">
      <alignment horizontal="center" wrapText="1"/>
    </xf>
    <xf numFmtId="0" fontId="20" fillId="0" borderId="26" xfId="3" applyBorder="1" applyAlignment="1">
      <alignment horizontal="center"/>
    </xf>
    <xf numFmtId="0" fontId="20" fillId="0" borderId="27" xfId="3" applyBorder="1" applyAlignment="1">
      <alignment horizontal="center"/>
    </xf>
    <xf numFmtId="0" fontId="28" fillId="0" borderId="24" xfId="3" applyFont="1" applyBorder="1" applyAlignment="1">
      <alignment wrapText="1"/>
    </xf>
    <xf numFmtId="0" fontId="21" fillId="0" borderId="1" xfId="3" applyFont="1" applyBorder="1" applyAlignment="1">
      <alignment wrapText="1"/>
    </xf>
    <xf numFmtId="9" fontId="20" fillId="0" borderId="42" xfId="3" applyNumberFormat="1" applyFont="1" applyBorder="1" applyAlignment="1">
      <alignment horizontal="center"/>
    </xf>
    <xf numFmtId="9" fontId="20" fillId="0" borderId="43" xfId="3" applyNumberFormat="1" applyFont="1" applyBorder="1" applyAlignment="1">
      <alignment horizontal="center"/>
    </xf>
    <xf numFmtId="0" fontId="28" fillId="0" borderId="25" xfId="3" applyFont="1" applyBorder="1" applyAlignment="1">
      <alignment horizontal="right" wrapText="1"/>
    </xf>
    <xf numFmtId="0" fontId="21" fillId="0" borderId="25" xfId="3" applyFont="1" applyBorder="1" applyAlignment="1">
      <alignment wrapText="1"/>
    </xf>
    <xf numFmtId="0" fontId="0" fillId="0" borderId="0" xfId="0" applyAlignment="1" applyProtection="1">
      <alignment horizontal="left"/>
    </xf>
    <xf numFmtId="0" fontId="31" fillId="0" borderId="0" xfId="3" applyFont="1"/>
    <xf numFmtId="0" fontId="20" fillId="0" borderId="0" xfId="3" applyBorder="1"/>
    <xf numFmtId="0" fontId="22" fillId="10" borderId="0" xfId="3" applyFont="1" applyFill="1" applyBorder="1" applyAlignment="1">
      <alignment horizontal="center" wrapText="1"/>
    </xf>
    <xf numFmtId="0" fontId="42" fillId="0" borderId="25" xfId="3" applyFont="1" applyBorder="1" applyAlignment="1">
      <alignment wrapText="1"/>
    </xf>
    <xf numFmtId="0" fontId="42" fillId="0" borderId="29" xfId="3" applyFont="1" applyBorder="1" applyAlignment="1">
      <alignment wrapText="1"/>
    </xf>
    <xf numFmtId="0" fontId="20" fillId="0" borderId="24" xfId="3" applyFont="1" applyBorder="1" applyAlignment="1"/>
    <xf numFmtId="0" fontId="21" fillId="0" borderId="33" xfId="3" applyFont="1" applyBorder="1" applyAlignment="1">
      <alignment horizontal="center" wrapText="1"/>
    </xf>
    <xf numFmtId="0" fontId="20" fillId="0" borderId="25" xfId="3" applyFont="1" applyBorder="1" applyAlignment="1">
      <alignment wrapText="1"/>
    </xf>
    <xf numFmtId="0" fontId="20" fillId="0" borderId="22" xfId="3" applyFont="1" applyBorder="1"/>
    <xf numFmtId="0" fontId="21" fillId="10" borderId="0" xfId="3" applyFont="1" applyFill="1" applyBorder="1" applyAlignment="1">
      <alignment wrapText="1"/>
    </xf>
    <xf numFmtId="0" fontId="4" fillId="0" borderId="0" xfId="2" applyAlignment="1" applyProtection="1"/>
    <xf numFmtId="0" fontId="43" fillId="0" borderId="0" xfId="2" applyFont="1" applyAlignment="1" applyProtection="1"/>
    <xf numFmtId="0" fontId="22" fillId="10" borderId="21" xfId="3" applyFont="1" applyFill="1" applyBorder="1" applyAlignment="1">
      <alignment horizontal="center" wrapText="1"/>
    </xf>
    <xf numFmtId="0" fontId="22" fillId="10" borderId="22" xfId="3" applyFont="1" applyFill="1" applyBorder="1" applyAlignment="1">
      <alignment horizontal="center" wrapText="1"/>
    </xf>
    <xf numFmtId="0" fontId="22" fillId="0" borderId="21" xfId="3" applyFont="1" applyBorder="1" applyAlignment="1">
      <alignment horizontal="center"/>
    </xf>
    <xf numFmtId="0" fontId="20" fillId="0" borderId="22" xfId="3" applyBorder="1"/>
    <xf numFmtId="0" fontId="21" fillId="0" borderId="21" xfId="3" applyFont="1" applyBorder="1" applyAlignment="1">
      <alignment horizontal="justify"/>
    </xf>
    <xf numFmtId="0" fontId="22" fillId="0" borderId="21" xfId="3" applyFont="1" applyBorder="1" applyAlignment="1">
      <alignment horizontal="justify"/>
    </xf>
    <xf numFmtId="0" fontId="21" fillId="0" borderId="33" xfId="3" applyFont="1" applyBorder="1" applyAlignment="1">
      <alignment horizontal="center" vertical="center" wrapText="1"/>
    </xf>
    <xf numFmtId="0" fontId="35" fillId="0" borderId="0" xfId="3" applyFont="1"/>
    <xf numFmtId="0" fontId="21" fillId="0" borderId="20" xfId="3" applyFont="1" applyBorder="1" applyAlignment="1">
      <alignment wrapText="1"/>
    </xf>
    <xf numFmtId="9" fontId="20" fillId="9" borderId="20" xfId="3" applyNumberFormat="1" applyFill="1" applyBorder="1" applyAlignment="1">
      <alignment horizontal="center" wrapText="1"/>
    </xf>
    <xf numFmtId="9" fontId="20" fillId="0" borderId="20" xfId="3" applyNumberFormat="1" applyFont="1" applyBorder="1" applyAlignment="1">
      <alignment horizontal="center"/>
    </xf>
    <xf numFmtId="0" fontId="21" fillId="9" borderId="20" xfId="3" applyFont="1" applyFill="1" applyBorder="1" applyAlignment="1">
      <alignment wrapText="1"/>
    </xf>
    <xf numFmtId="0" fontId="31" fillId="0" borderId="21" xfId="3" applyFont="1" applyBorder="1" applyAlignment="1">
      <alignment vertical="center" wrapText="1"/>
    </xf>
    <xf numFmtId="0" fontId="20" fillId="0" borderId="4" xfId="3" applyFont="1" applyBorder="1" applyAlignment="1">
      <alignment horizontal="center" vertical="center" wrapText="1"/>
    </xf>
    <xf numFmtId="0" fontId="20" fillId="0" borderId="8" xfId="3" applyFont="1" applyBorder="1" applyAlignment="1">
      <alignment horizontal="center" vertical="center" wrapText="1"/>
    </xf>
    <xf numFmtId="0" fontId="13" fillId="0" borderId="0" xfId="1" applyFont="1" applyFill="1" applyBorder="1" applyAlignment="1" applyProtection="1">
      <alignment vertical="top"/>
    </xf>
    <xf numFmtId="0" fontId="20" fillId="0" borderId="0" xfId="3"/>
    <xf numFmtId="0" fontId="20" fillId="0" borderId="0" xfId="3" applyFont="1"/>
    <xf numFmtId="0" fontId="22" fillId="0" borderId="0" xfId="3" applyFont="1" applyAlignment="1">
      <alignment horizontal="center"/>
    </xf>
    <xf numFmtId="0" fontId="25" fillId="0" borderId="0" xfId="3" applyFont="1"/>
    <xf numFmtId="0" fontId="21" fillId="0" borderId="0" xfId="3" applyFont="1" applyAlignment="1">
      <alignment horizontal="justify"/>
    </xf>
    <xf numFmtId="0" fontId="22" fillId="0" borderId="0" xfId="3" applyFont="1" applyAlignment="1">
      <alignment horizontal="justify"/>
    </xf>
    <xf numFmtId="0" fontId="21" fillId="0" borderId="20" xfId="3" applyFont="1" applyBorder="1" applyAlignment="1">
      <alignment horizontal="center" wrapText="1"/>
    </xf>
    <xf numFmtId="0" fontId="20" fillId="0" borderId="0" xfId="3" applyAlignment="1">
      <alignment horizontal="center" wrapText="1"/>
    </xf>
    <xf numFmtId="0" fontId="20" fillId="0" borderId="0" xfId="3" applyAlignment="1">
      <alignment wrapText="1"/>
    </xf>
    <xf numFmtId="0" fontId="20" fillId="0" borderId="0" xfId="3" applyAlignment="1"/>
    <xf numFmtId="9" fontId="20" fillId="0" borderId="0" xfId="3" applyNumberFormat="1" applyBorder="1" applyAlignment="1">
      <alignment horizontal="center" wrapText="1"/>
    </xf>
    <xf numFmtId="0" fontId="21" fillId="9" borderId="0" xfId="3" applyFont="1" applyFill="1" applyBorder="1" applyAlignment="1">
      <alignment wrapText="1"/>
    </xf>
    <xf numFmtId="0" fontId="20" fillId="0" borderId="0" xfId="3" applyAlignment="1">
      <alignment horizontal="left"/>
    </xf>
    <xf numFmtId="0" fontId="21" fillId="0" borderId="0" xfId="3" applyFont="1" applyBorder="1" applyAlignment="1">
      <alignment horizontal="center" wrapText="1"/>
    </xf>
    <xf numFmtId="0" fontId="21" fillId="0" borderId="0" xfId="3" applyFont="1" applyBorder="1" applyAlignment="1">
      <alignment wrapText="1"/>
    </xf>
    <xf numFmtId="0" fontId="21" fillId="0" borderId="28" xfId="3" applyFont="1" applyBorder="1" applyAlignment="1">
      <alignment horizontal="center" wrapText="1"/>
    </xf>
    <xf numFmtId="0" fontId="21" fillId="0" borderId="27" xfId="3" applyFont="1" applyBorder="1" applyAlignment="1"/>
    <xf numFmtId="0" fontId="21" fillId="0" borderId="28" xfId="3" applyFont="1" applyBorder="1" applyAlignment="1"/>
    <xf numFmtId="0" fontId="21" fillId="0" borderId="22" xfId="3" applyFont="1" applyBorder="1" applyAlignment="1">
      <alignment horizontal="center" wrapText="1"/>
    </xf>
    <xf numFmtId="0" fontId="20" fillId="0" borderId="24" xfId="3" applyBorder="1" applyAlignment="1"/>
    <xf numFmtId="44" fontId="20" fillId="0" borderId="25" xfId="5" applyFont="1" applyBorder="1" applyAlignment="1"/>
    <xf numFmtId="6" fontId="21" fillId="0" borderId="0" xfId="3" applyNumberFormat="1" applyFont="1" applyBorder="1" applyAlignment="1">
      <alignment horizontal="center" wrapText="1"/>
    </xf>
    <xf numFmtId="0" fontId="32" fillId="0" borderId="24" xfId="3" applyFont="1" applyBorder="1" applyAlignment="1">
      <alignment wrapText="1"/>
    </xf>
    <xf numFmtId="0" fontId="32" fillId="0" borderId="25" xfId="3" applyFont="1" applyBorder="1" applyAlignment="1">
      <alignment wrapText="1"/>
    </xf>
    <xf numFmtId="0" fontId="32" fillId="0" borderId="29" xfId="3" applyFont="1" applyBorder="1" applyAlignment="1">
      <alignment wrapText="1"/>
    </xf>
    <xf numFmtId="0" fontId="20" fillId="0" borderId="0" xfId="3" applyFill="1" applyBorder="1"/>
    <xf numFmtId="0" fontId="20" fillId="0" borderId="0" xfId="3" applyAlignment="1">
      <alignment horizontal="right"/>
    </xf>
    <xf numFmtId="0" fontId="31" fillId="0" borderId="24" xfId="3" applyFont="1" applyBorder="1" applyAlignment="1">
      <alignment vertical="center" wrapText="1"/>
    </xf>
    <xf numFmtId="0" fontId="21" fillId="0" borderId="4" xfId="3" applyFont="1" applyBorder="1" applyAlignment="1">
      <alignment horizontal="center" vertical="center" wrapText="1"/>
    </xf>
    <xf numFmtId="0" fontId="21" fillId="0" borderId="8" xfId="3" applyFont="1" applyBorder="1" applyAlignment="1">
      <alignment horizontal="center" vertical="center" wrapText="1"/>
    </xf>
    <xf numFmtId="0" fontId="21" fillId="0" borderId="10" xfId="3" applyFont="1" applyBorder="1" applyAlignment="1">
      <alignment horizontal="center" vertical="center" wrapText="1"/>
    </xf>
    <xf numFmtId="14" fontId="20" fillId="0" borderId="25" xfId="3" applyNumberFormat="1" applyFont="1" applyBorder="1" applyAlignment="1">
      <alignment horizontal="center"/>
    </xf>
    <xf numFmtId="0" fontId="22" fillId="0" borderId="0" xfId="3" applyFont="1" applyFill="1" applyAlignment="1">
      <alignment wrapText="1"/>
    </xf>
    <xf numFmtId="14" fontId="5" fillId="0" borderId="25" xfId="3" applyNumberFormat="1" applyFont="1" applyBorder="1" applyAlignment="1">
      <alignment horizontal="center" wrapText="1"/>
    </xf>
    <xf numFmtId="14" fontId="41" fillId="0" borderId="29" xfId="3" applyNumberFormat="1" applyFont="1" applyBorder="1" applyAlignment="1">
      <alignment horizontal="left" wrapText="1"/>
    </xf>
    <xf numFmtId="14" fontId="41" fillId="0" borderId="24" xfId="3" applyNumberFormat="1" applyFont="1" applyBorder="1" applyAlignment="1">
      <alignment horizontal="right" wrapText="1"/>
    </xf>
    <xf numFmtId="0" fontId="12" fillId="0" borderId="27" xfId="1" applyFont="1" applyFill="1" applyBorder="1" applyAlignment="1" applyProtection="1"/>
    <xf numFmtId="0" fontId="44" fillId="0" borderId="0" xfId="6" applyFont="1" applyProtection="1"/>
    <xf numFmtId="0" fontId="39" fillId="0" borderId="0" xfId="6" applyFont="1" applyAlignment="1" applyProtection="1">
      <alignment horizontal="left"/>
    </xf>
    <xf numFmtId="0" fontId="20" fillId="0" borderId="0" xfId="3" applyFont="1" applyBorder="1" applyAlignment="1" applyProtection="1">
      <alignment horizontal="center"/>
    </xf>
    <xf numFmtId="0" fontId="22" fillId="0" borderId="0" xfId="3" applyFont="1" applyBorder="1" applyAlignment="1" applyProtection="1">
      <alignment horizontal="right"/>
    </xf>
    <xf numFmtId="0" fontId="22" fillId="0" borderId="31" xfId="3" applyFont="1" applyBorder="1" applyAlignment="1" applyProtection="1">
      <alignment horizontal="center"/>
    </xf>
    <xf numFmtId="0" fontId="21" fillId="0" borderId="29" xfId="3" applyFont="1" applyBorder="1" applyAlignment="1">
      <alignment horizontal="center" wrapText="1"/>
    </xf>
    <xf numFmtId="0" fontId="25" fillId="0" borderId="0" xfId="3" applyFont="1" applyAlignment="1">
      <alignment horizontal="right"/>
    </xf>
    <xf numFmtId="0" fontId="21" fillId="0" borderId="24" xfId="3" applyFont="1" applyBorder="1" applyAlignment="1">
      <alignment horizontal="center" wrapText="1"/>
    </xf>
    <xf numFmtId="0" fontId="21" fillId="0" borderId="34" xfId="3" applyFont="1" applyBorder="1" applyAlignment="1">
      <alignment horizontal="left" wrapText="1"/>
    </xf>
    <xf numFmtId="0" fontId="21" fillId="0" borderId="0" xfId="3" applyFont="1" applyAlignment="1">
      <alignment horizontal="left"/>
    </xf>
    <xf numFmtId="0" fontId="21" fillId="0" borderId="0" xfId="3" applyFont="1" applyBorder="1" applyAlignment="1">
      <alignment horizontal="center" wrapText="1"/>
    </xf>
    <xf numFmtId="0" fontId="21" fillId="0" borderId="24" xfId="3" applyFont="1" applyBorder="1" applyAlignment="1">
      <alignment horizontal="left" vertical="center" wrapText="1"/>
    </xf>
    <xf numFmtId="0" fontId="21" fillId="0" borderId="46" xfId="3" applyFont="1" applyBorder="1" applyAlignment="1">
      <alignment horizontal="center" wrapText="1"/>
    </xf>
    <xf numFmtId="0" fontId="25" fillId="0" borderId="0" xfId="3" applyFont="1" applyAlignment="1" applyProtection="1">
      <alignment horizontal="right"/>
    </xf>
    <xf numFmtId="0" fontId="22" fillId="0" borderId="0" xfId="3" applyFont="1" applyAlignment="1" applyProtection="1">
      <alignment horizontal="right"/>
    </xf>
    <xf numFmtId="0" fontId="21" fillId="0" borderId="0" xfId="3" applyFont="1" applyBorder="1" applyAlignment="1">
      <alignment horizontal="center" vertical="center" wrapText="1"/>
    </xf>
    <xf numFmtId="0" fontId="21" fillId="0" borderId="25" xfId="3" applyFont="1" applyBorder="1" applyAlignment="1">
      <alignment horizontal="center" wrapText="1"/>
    </xf>
    <xf numFmtId="0" fontId="20" fillId="0" borderId="0" xfId="3" applyAlignment="1">
      <alignment horizontal="left"/>
    </xf>
    <xf numFmtId="0" fontId="29" fillId="0" borderId="0" xfId="6" applyProtection="1"/>
    <xf numFmtId="0" fontId="45" fillId="0" borderId="0" xfId="6" applyFont="1" applyAlignment="1" applyProtection="1">
      <alignment horizontal="right"/>
    </xf>
    <xf numFmtId="0" fontId="46" fillId="0" borderId="0" xfId="6" applyFont="1" applyBorder="1" applyAlignment="1" applyProtection="1">
      <alignment horizontal="right"/>
    </xf>
    <xf numFmtId="0" fontId="46" fillId="0" borderId="64" xfId="6" applyFont="1" applyBorder="1" applyAlignment="1" applyProtection="1">
      <alignment horizontal="right"/>
    </xf>
    <xf numFmtId="0" fontId="4" fillId="8" borderId="33" xfId="2" applyFill="1" applyBorder="1" applyAlignment="1" applyProtection="1">
      <protection locked="0"/>
    </xf>
    <xf numFmtId="0" fontId="0" fillId="0" borderId="0" xfId="0" applyAlignment="1" applyProtection="1">
      <alignment horizontal="right"/>
    </xf>
    <xf numFmtId="0" fontId="27" fillId="0" borderId="21" xfId="3" applyFont="1" applyBorder="1" applyAlignment="1" applyProtection="1">
      <alignment vertical="center" wrapText="1"/>
    </xf>
    <xf numFmtId="0" fontId="27" fillId="0" borderId="26" xfId="3" applyFont="1" applyBorder="1" applyAlignment="1" applyProtection="1">
      <alignment vertical="center" wrapText="1"/>
    </xf>
    <xf numFmtId="0" fontId="22" fillId="0" borderId="3" xfId="3" applyFont="1" applyBorder="1" applyAlignment="1" applyProtection="1">
      <alignment horizontal="left"/>
    </xf>
    <xf numFmtId="0" fontId="22" fillId="0" borderId="3" xfId="3" applyFont="1" applyBorder="1" applyAlignment="1" applyProtection="1"/>
    <xf numFmtId="0" fontId="22" fillId="0" borderId="3" xfId="3" applyFont="1" applyBorder="1" applyAlignment="1" applyProtection="1">
      <alignment horizontal="left" wrapText="1"/>
    </xf>
    <xf numFmtId="0" fontId="22" fillId="0" borderId="3" xfId="3" applyFont="1" applyBorder="1" applyProtection="1"/>
    <xf numFmtId="0" fontId="27" fillId="0" borderId="13" xfId="3" applyFont="1" applyBorder="1" applyAlignment="1" applyProtection="1">
      <alignment vertical="center" wrapText="1"/>
    </xf>
    <xf numFmtId="0" fontId="27" fillId="0" borderId="41" xfId="3" applyFont="1" applyBorder="1" applyAlignment="1" applyProtection="1">
      <alignment vertical="center" wrapText="1"/>
    </xf>
    <xf numFmtId="9" fontId="5" fillId="0" borderId="0" xfId="3" applyNumberFormat="1" applyFont="1" applyProtection="1"/>
    <xf numFmtId="9" fontId="5" fillId="0" borderId="0" xfId="3" applyNumberFormat="1" applyFont="1" applyBorder="1" applyAlignment="1" applyProtection="1">
      <alignment vertical="center"/>
    </xf>
    <xf numFmtId="0" fontId="27" fillId="0" borderId="21" xfId="3" applyFont="1" applyBorder="1" applyAlignment="1" applyProtection="1">
      <alignment horizontal="left" vertical="center" wrapText="1"/>
    </xf>
    <xf numFmtId="0" fontId="27" fillId="0" borderId="26" xfId="3" applyFont="1" applyBorder="1" applyAlignment="1" applyProtection="1">
      <alignment horizontal="left" vertical="center" wrapText="1"/>
    </xf>
    <xf numFmtId="0" fontId="27" fillId="0" borderId="34" xfId="3" applyFont="1" applyBorder="1" applyAlignment="1" applyProtection="1">
      <alignment horizontal="left" vertical="center" wrapText="1"/>
    </xf>
    <xf numFmtId="0" fontId="27" fillId="0" borderId="13" xfId="3" applyFont="1" applyBorder="1" applyAlignment="1" applyProtection="1">
      <alignment horizontal="left" vertical="center" wrapText="1"/>
    </xf>
    <xf numFmtId="0" fontId="27" fillId="0" borderId="20" xfId="3" applyFont="1" applyBorder="1" applyAlignment="1" applyProtection="1">
      <alignment horizontal="left" vertical="center" wrapText="1"/>
    </xf>
    <xf numFmtId="0" fontId="27" fillId="0" borderId="15" xfId="3" applyFont="1" applyBorder="1" applyAlignment="1" applyProtection="1">
      <alignment horizontal="left" vertical="center" wrapText="1"/>
    </xf>
    <xf numFmtId="9" fontId="5" fillId="0" borderId="4" xfId="3" applyNumberFormat="1" applyFont="1" applyBorder="1" applyAlignment="1" applyProtection="1">
      <alignment horizontal="center" vertical="center" wrapText="1"/>
    </xf>
    <xf numFmtId="9" fontId="5" fillId="0" borderId="10" xfId="3" applyNumberFormat="1" applyFont="1" applyBorder="1" applyAlignment="1" applyProtection="1">
      <alignment horizontal="center" vertical="center" wrapText="1"/>
    </xf>
    <xf numFmtId="0" fontId="27" fillId="0" borderId="51" xfId="3" applyFont="1" applyBorder="1" applyAlignment="1" applyProtection="1">
      <alignment horizontal="left" vertical="center" wrapText="1"/>
    </xf>
    <xf numFmtId="0" fontId="27" fillId="0" borderId="24" xfId="3" applyFont="1" applyBorder="1" applyAlignment="1" applyProtection="1">
      <alignment horizontal="left" vertical="center" wrapText="1"/>
    </xf>
    <xf numFmtId="9" fontId="5" fillId="0" borderId="42" xfId="3" applyNumberFormat="1" applyFont="1" applyBorder="1" applyAlignment="1" applyProtection="1">
      <alignment horizontal="center" vertical="center"/>
    </xf>
    <xf numFmtId="0" fontId="20" fillId="0" borderId="31" xfId="3" applyFont="1" applyBorder="1" applyAlignment="1" applyProtection="1">
      <alignment horizontal="left"/>
    </xf>
    <xf numFmtId="0" fontId="27" fillId="0" borderId="20" xfId="3" applyFont="1" applyBorder="1" applyAlignment="1" applyProtection="1">
      <alignment vertical="center"/>
    </xf>
    <xf numFmtId="9" fontId="25" fillId="0" borderId="4" xfId="3" quotePrefix="1" applyNumberFormat="1" applyFont="1" applyBorder="1" applyAlignment="1" applyProtection="1">
      <alignment horizontal="center" vertical="center" wrapText="1"/>
    </xf>
    <xf numFmtId="9" fontId="25" fillId="0" borderId="10" xfId="3" quotePrefix="1" applyNumberFormat="1" applyFont="1" applyBorder="1" applyAlignment="1" applyProtection="1">
      <alignment horizontal="center" vertical="center" wrapText="1"/>
    </xf>
    <xf numFmtId="0" fontId="0" fillId="0" borderId="37" xfId="0" applyBorder="1" applyProtection="1"/>
    <xf numFmtId="9" fontId="5" fillId="0" borderId="4" xfId="3" quotePrefix="1" applyNumberFormat="1" applyFont="1" applyBorder="1" applyAlignment="1" applyProtection="1">
      <alignment horizontal="center" vertical="center" wrapText="1"/>
    </xf>
    <xf numFmtId="0" fontId="27" fillId="0" borderId="20" xfId="3" applyFont="1" applyBorder="1" applyAlignment="1" applyProtection="1">
      <alignment horizontal="left" vertical="center"/>
    </xf>
    <xf numFmtId="0" fontId="31" fillId="0" borderId="0" xfId="3" applyFont="1" applyProtection="1"/>
    <xf numFmtId="0" fontId="27" fillId="0" borderId="15" xfId="3" applyFont="1" applyBorder="1" applyAlignment="1" applyProtection="1">
      <alignment horizontal="left" vertical="center"/>
    </xf>
    <xf numFmtId="0" fontId="22" fillId="0" borderId="17" xfId="3" applyFont="1" applyBorder="1" applyAlignment="1" applyProtection="1"/>
    <xf numFmtId="0" fontId="22" fillId="0" borderId="18" xfId="3" applyFont="1" applyBorder="1" applyAlignment="1" applyProtection="1"/>
    <xf numFmtId="0" fontId="22" fillId="0" borderId="51" xfId="3" applyFont="1" applyBorder="1" applyAlignment="1" applyProtection="1"/>
    <xf numFmtId="0" fontId="22" fillId="0" borderId="23" xfId="3" applyFont="1" applyBorder="1" applyAlignment="1" applyProtection="1"/>
    <xf numFmtId="0" fontId="22" fillId="0" borderId="45" xfId="3" applyFont="1" applyBorder="1" applyAlignment="1" applyProtection="1"/>
    <xf numFmtId="0" fontId="22" fillId="0" borderId="38" xfId="3" applyFont="1" applyBorder="1" applyAlignment="1" applyProtection="1"/>
    <xf numFmtId="9" fontId="5" fillId="0" borderId="47" xfId="3" applyNumberFormat="1" applyFont="1" applyBorder="1" applyAlignment="1" applyProtection="1">
      <alignment horizontal="center" vertical="center" wrapText="1"/>
    </xf>
    <xf numFmtId="9" fontId="20" fillId="0" borderId="1" xfId="3" applyNumberFormat="1" applyFont="1" applyBorder="1" applyAlignment="1" applyProtection="1">
      <alignment horizontal="center"/>
    </xf>
    <xf numFmtId="9" fontId="20" fillId="0" borderId="36" xfId="3" applyNumberFormat="1" applyFont="1" applyBorder="1" applyAlignment="1" applyProtection="1">
      <alignment horizontal="center"/>
    </xf>
    <xf numFmtId="0" fontId="22" fillId="0" borderId="54" xfId="3" applyFont="1" applyFill="1" applyBorder="1" applyAlignment="1" applyProtection="1">
      <alignment horizontal="center" vertical="center" wrapText="1"/>
    </xf>
    <xf numFmtId="0" fontId="22" fillId="0" borderId="37" xfId="3" applyFont="1" applyFill="1" applyBorder="1" applyAlignment="1" applyProtection="1">
      <alignment horizontal="center" vertical="center" wrapText="1"/>
    </xf>
    <xf numFmtId="0" fontId="22" fillId="0" borderId="0" xfId="3" applyFont="1" applyFill="1" applyAlignment="1" applyProtection="1">
      <alignment horizontal="center" vertical="center"/>
    </xf>
    <xf numFmtId="0" fontId="20" fillId="0" borderId="0" xfId="3" applyFill="1" applyAlignment="1" applyProtection="1">
      <alignment horizontal="center" vertical="center"/>
    </xf>
    <xf numFmtId="0" fontId="21" fillId="0" borderId="0" xfId="3" applyFont="1" applyAlignment="1" applyProtection="1">
      <alignment horizontal="left" vertical="center"/>
    </xf>
    <xf numFmtId="0" fontId="20" fillId="0" borderId="0" xfId="3" applyAlignment="1" applyProtection="1">
      <alignment horizontal="center" vertical="center"/>
    </xf>
    <xf numFmtId="0" fontId="22" fillId="0" borderId="0" xfId="3" applyFont="1" applyAlignment="1" applyProtection="1">
      <alignment horizontal="center" vertical="center"/>
    </xf>
    <xf numFmtId="0" fontId="20" fillId="0" borderId="21" xfId="3" applyBorder="1" applyAlignment="1" applyProtection="1">
      <alignment horizontal="center" vertical="center" wrapText="1"/>
    </xf>
    <xf numFmtId="14" fontId="41" fillId="0" borderId="25" xfId="3" applyNumberFormat="1" applyFont="1" applyBorder="1" applyAlignment="1" applyProtection="1">
      <alignment horizontal="center" vertical="center" wrapText="1"/>
    </xf>
    <xf numFmtId="0" fontId="20" fillId="0" borderId="25" xfId="3" applyBorder="1" applyAlignment="1" applyProtection="1">
      <alignment horizontal="center" vertical="center" wrapText="1"/>
    </xf>
    <xf numFmtId="14" fontId="41" fillId="0" borderId="29" xfId="3" applyNumberFormat="1" applyFont="1" applyBorder="1" applyAlignment="1" applyProtection="1">
      <alignment horizontal="center" vertical="center" wrapText="1"/>
    </xf>
    <xf numFmtId="0" fontId="21" fillId="0" borderId="26" xfId="3" applyFont="1" applyBorder="1" applyAlignment="1" applyProtection="1">
      <alignment horizontal="left" vertical="center"/>
    </xf>
    <xf numFmtId="14" fontId="22" fillId="0" borderId="27" xfId="3" applyNumberFormat="1" applyFont="1" applyBorder="1" applyAlignment="1" applyProtection="1">
      <alignment horizontal="center" vertical="center" wrapText="1"/>
    </xf>
    <xf numFmtId="0" fontId="22" fillId="0" borderId="27" xfId="3" applyFont="1" applyBorder="1" applyAlignment="1" applyProtection="1">
      <alignment horizontal="center" vertical="center" wrapText="1"/>
    </xf>
    <xf numFmtId="0" fontId="33" fillId="0" borderId="28" xfId="3" applyFont="1" applyBorder="1" applyAlignment="1" applyProtection="1">
      <alignment horizontal="center" vertical="center" wrapText="1"/>
    </xf>
    <xf numFmtId="0" fontId="20" fillId="0" borderId="24" xfId="3" applyBorder="1" applyAlignment="1" applyProtection="1">
      <alignment horizontal="center" vertical="center"/>
    </xf>
    <xf numFmtId="0" fontId="21" fillId="0" borderId="25" xfId="3" applyFont="1" applyBorder="1" applyAlignment="1" applyProtection="1">
      <alignment horizontal="center" vertical="center"/>
    </xf>
    <xf numFmtId="0" fontId="21" fillId="0" borderId="29" xfId="3" applyFont="1" applyBorder="1" applyAlignment="1" applyProtection="1">
      <alignment horizontal="center" vertical="center"/>
    </xf>
    <xf numFmtId="0" fontId="21" fillId="0" borderId="1" xfId="3" applyFont="1" applyBorder="1" applyAlignment="1" applyProtection="1">
      <alignment horizontal="center" vertical="center" wrapText="1"/>
    </xf>
    <xf numFmtId="0" fontId="21" fillId="0" borderId="2" xfId="3" applyFont="1" applyBorder="1" applyAlignment="1" applyProtection="1">
      <alignment horizontal="center" vertical="center" wrapText="1"/>
    </xf>
    <xf numFmtId="0" fontId="21" fillId="0" borderId="36" xfId="3" applyFont="1" applyBorder="1" applyAlignment="1" applyProtection="1">
      <alignment horizontal="center" vertical="center" wrapText="1"/>
    </xf>
    <xf numFmtId="0" fontId="21" fillId="0" borderId="61" xfId="3" applyFont="1" applyBorder="1" applyAlignment="1" applyProtection="1">
      <alignment horizontal="center" vertical="center" wrapText="1"/>
    </xf>
    <xf numFmtId="0" fontId="20" fillId="0" borderId="34" xfId="3" applyBorder="1" applyAlignment="1" applyProtection="1">
      <alignment horizontal="center" vertical="center"/>
    </xf>
    <xf numFmtId="0" fontId="20" fillId="0" borderId="35" xfId="3" applyBorder="1" applyAlignment="1" applyProtection="1">
      <alignment horizontal="center" vertical="center"/>
    </xf>
    <xf numFmtId="0" fontId="21" fillId="0" borderId="20" xfId="3" applyFont="1" applyBorder="1" applyAlignment="1" applyProtection="1">
      <alignment horizontal="center" vertical="center" wrapText="1"/>
    </xf>
    <xf numFmtId="9" fontId="21" fillId="0" borderId="2" xfId="3" applyNumberFormat="1" applyFont="1" applyBorder="1" applyAlignment="1" applyProtection="1">
      <alignment horizontal="center" vertical="center"/>
    </xf>
    <xf numFmtId="9" fontId="21" fillId="0" borderId="36" xfId="3" applyNumberFormat="1" applyFont="1" applyBorder="1" applyAlignment="1" applyProtection="1">
      <alignment horizontal="center" vertical="center"/>
    </xf>
    <xf numFmtId="0" fontId="3" fillId="10" borderId="20" xfId="3" applyFont="1" applyFill="1" applyBorder="1" applyAlignment="1" applyProtection="1">
      <alignment horizontal="center" vertical="center" wrapText="1"/>
    </xf>
    <xf numFmtId="0" fontId="21" fillId="0" borderId="0" xfId="3" applyFont="1" applyBorder="1" applyAlignment="1" applyProtection="1">
      <alignment wrapText="1"/>
    </xf>
    <xf numFmtId="0" fontId="20" fillId="0" borderId="0" xfId="3" applyFont="1" applyBorder="1" applyAlignment="1" applyProtection="1">
      <alignment horizontal="center" vertical="center" wrapText="1"/>
    </xf>
    <xf numFmtId="0" fontId="21" fillId="0" borderId="0" xfId="3" applyFont="1" applyBorder="1" applyAlignment="1" applyProtection="1">
      <alignment horizontal="center" wrapText="1"/>
    </xf>
    <xf numFmtId="9" fontId="20" fillId="0" borderId="0" xfId="3" applyNumberFormat="1" applyBorder="1" applyAlignment="1" applyProtection="1">
      <alignment horizontal="center" wrapText="1"/>
    </xf>
    <xf numFmtId="0" fontId="34" fillId="0" borderId="0" xfId="3" applyFont="1" applyFill="1" applyBorder="1" applyAlignment="1" applyProtection="1">
      <alignment horizontal="center" wrapText="1"/>
    </xf>
    <xf numFmtId="0" fontId="20" fillId="0" borderId="0" xfId="3" applyAlignment="1" applyProtection="1">
      <alignment horizontal="left"/>
    </xf>
    <xf numFmtId="0" fontId="20" fillId="0" borderId="0" xfId="3" applyAlignment="1" applyProtection="1">
      <alignment horizontal="center" wrapText="1"/>
    </xf>
    <xf numFmtId="0" fontId="20" fillId="0" borderId="0" xfId="3" applyAlignment="1" applyProtection="1"/>
    <xf numFmtId="0" fontId="20" fillId="0" borderId="0" xfId="3" applyAlignment="1" applyProtection="1">
      <alignment wrapText="1"/>
    </xf>
    <xf numFmtId="0" fontId="20" fillId="0" borderId="0" xfId="3" applyAlignment="1" applyProtection="1">
      <alignment horizontal="right"/>
    </xf>
    <xf numFmtId="14" fontId="20" fillId="0" borderId="25" xfId="3" applyNumberFormat="1" applyFont="1" applyBorder="1" applyAlignment="1" applyProtection="1">
      <alignment horizontal="center"/>
    </xf>
    <xf numFmtId="0" fontId="20" fillId="0" borderId="0" xfId="3" applyFont="1" applyProtection="1"/>
    <xf numFmtId="0" fontId="27" fillId="0" borderId="24" xfId="3" applyFont="1" applyBorder="1" applyAlignment="1" applyProtection="1">
      <alignment vertical="center" wrapText="1"/>
    </xf>
    <xf numFmtId="0" fontId="27" fillId="0" borderId="20" xfId="3" applyFont="1" applyBorder="1" applyAlignment="1" applyProtection="1">
      <alignment vertical="center" wrapText="1"/>
    </xf>
    <xf numFmtId="0" fontId="27" fillId="0" borderId="15" xfId="3" applyFont="1" applyBorder="1" applyAlignment="1" applyProtection="1">
      <alignment vertical="center" wrapText="1"/>
    </xf>
    <xf numFmtId="0" fontId="27" fillId="0" borderId="14" xfId="3" applyFont="1" applyBorder="1" applyAlignment="1" applyProtection="1">
      <alignment vertical="center" wrapText="1"/>
    </xf>
    <xf numFmtId="0" fontId="22" fillId="16" borderId="31" xfId="3" applyFont="1" applyFill="1" applyBorder="1" applyAlignment="1" applyProtection="1">
      <alignment horizontal="center"/>
      <protection locked="0"/>
    </xf>
    <xf numFmtId="9" fontId="25" fillId="16" borderId="5" xfId="3" applyNumberFormat="1" applyFont="1" applyFill="1" applyBorder="1" applyAlignment="1" applyProtection="1">
      <alignment horizontal="center" vertical="center" wrapText="1"/>
      <protection locked="0"/>
    </xf>
    <xf numFmtId="0" fontId="20" fillId="16" borderId="5" xfId="3" applyFont="1" applyFill="1" applyBorder="1" applyAlignment="1" applyProtection="1">
      <alignment vertical="center" wrapText="1"/>
      <protection locked="0"/>
    </xf>
    <xf numFmtId="9" fontId="25" fillId="16" borderId="3" xfId="3" applyNumberFormat="1" applyFont="1" applyFill="1" applyBorder="1" applyAlignment="1" applyProtection="1">
      <alignment horizontal="center" vertical="center" wrapText="1"/>
      <protection locked="0"/>
    </xf>
    <xf numFmtId="0" fontId="20" fillId="16" borderId="3" xfId="3" applyFont="1" applyFill="1" applyBorder="1" applyAlignment="1" applyProtection="1">
      <alignment vertical="center" wrapText="1"/>
      <protection locked="0"/>
    </xf>
    <xf numFmtId="0" fontId="20" fillId="16" borderId="11" xfId="3" applyFont="1" applyFill="1" applyBorder="1" applyAlignment="1" applyProtection="1">
      <alignment vertical="center" wrapText="1"/>
      <protection locked="0"/>
    </xf>
    <xf numFmtId="9" fontId="20" fillId="16" borderId="5" xfId="3" applyNumberFormat="1" applyFill="1" applyBorder="1" applyAlignment="1" applyProtection="1">
      <alignment horizontal="center" vertical="center" wrapText="1"/>
      <protection locked="0"/>
    </xf>
    <xf numFmtId="9" fontId="20" fillId="16" borderId="40" xfId="3" applyNumberFormat="1" applyFill="1" applyBorder="1" applyAlignment="1" applyProtection="1">
      <alignment horizontal="center" vertical="center" wrapText="1"/>
      <protection locked="0"/>
    </xf>
    <xf numFmtId="9" fontId="20" fillId="16" borderId="3" xfId="3" applyNumberFormat="1" applyFill="1" applyBorder="1" applyAlignment="1" applyProtection="1">
      <alignment horizontal="center" vertical="center" wrapText="1"/>
      <protection locked="0"/>
    </xf>
    <xf numFmtId="9" fontId="20" fillId="16" borderId="16" xfId="3" applyNumberFormat="1" applyFill="1" applyBorder="1" applyAlignment="1" applyProtection="1">
      <alignment horizontal="center" vertical="center" wrapText="1"/>
      <protection locked="0"/>
    </xf>
    <xf numFmtId="9" fontId="20" fillId="16" borderId="11" xfId="3" applyNumberFormat="1" applyFill="1" applyBorder="1" applyAlignment="1" applyProtection="1">
      <alignment horizontal="center" vertical="center" wrapText="1"/>
      <protection locked="0"/>
    </xf>
    <xf numFmtId="9" fontId="20" fillId="16" borderId="49" xfId="3" applyNumberFormat="1" applyFill="1" applyBorder="1" applyAlignment="1" applyProtection="1">
      <alignment horizontal="center" vertical="center" wrapText="1"/>
      <protection locked="0"/>
    </xf>
    <xf numFmtId="0" fontId="20" fillId="16" borderId="25" xfId="3" applyFill="1" applyBorder="1" applyAlignment="1" applyProtection="1">
      <alignment vertical="top" wrapText="1"/>
      <protection locked="0"/>
    </xf>
    <xf numFmtId="0" fontId="20" fillId="16" borderId="25" xfId="3" applyFill="1" applyBorder="1" applyProtection="1">
      <protection locked="0"/>
    </xf>
    <xf numFmtId="0" fontId="20" fillId="16" borderId="20" xfId="3" applyFill="1" applyBorder="1" applyProtection="1">
      <protection locked="0"/>
    </xf>
    <xf numFmtId="0" fontId="5" fillId="16" borderId="6" xfId="3" applyFont="1" applyFill="1" applyBorder="1" applyAlignment="1" applyProtection="1">
      <alignment vertical="center" wrapText="1"/>
      <protection locked="0"/>
    </xf>
    <xf numFmtId="0" fontId="5" fillId="16" borderId="9" xfId="3" applyFont="1" applyFill="1" applyBorder="1" applyAlignment="1" applyProtection="1">
      <alignment vertical="center" wrapText="1"/>
      <protection locked="0"/>
    </xf>
    <xf numFmtId="0" fontId="5" fillId="16" borderId="12" xfId="3" applyFont="1" applyFill="1" applyBorder="1" applyAlignment="1" applyProtection="1">
      <alignment vertical="center" wrapText="1"/>
      <protection locked="0"/>
    </xf>
    <xf numFmtId="9" fontId="5" fillId="16" borderId="5" xfId="3" applyNumberFormat="1" applyFont="1" applyFill="1" applyBorder="1" applyAlignment="1" applyProtection="1">
      <alignment horizontal="center" vertical="center" wrapText="1"/>
      <protection locked="0"/>
    </xf>
    <xf numFmtId="0" fontId="5" fillId="16" borderId="5" xfId="3" applyFont="1" applyFill="1" applyBorder="1" applyAlignment="1" applyProtection="1">
      <alignment horizontal="center" vertical="center" wrapText="1"/>
      <protection locked="0"/>
    </xf>
    <xf numFmtId="9" fontId="5" fillId="16" borderId="3" xfId="3" applyNumberFormat="1" applyFont="1" applyFill="1" applyBorder="1" applyAlignment="1" applyProtection="1">
      <alignment horizontal="center" vertical="center" wrapText="1"/>
      <protection locked="0"/>
    </xf>
    <xf numFmtId="0" fontId="5" fillId="16" borderId="3" xfId="3" applyFont="1" applyFill="1" applyBorder="1" applyAlignment="1" applyProtection="1">
      <alignment horizontal="center" vertical="center" wrapText="1"/>
      <protection locked="0"/>
    </xf>
    <xf numFmtId="0" fontId="5" fillId="16" borderId="11" xfId="3" applyFont="1" applyFill="1" applyBorder="1" applyAlignment="1" applyProtection="1">
      <alignment horizontal="center" vertical="center"/>
      <protection locked="0"/>
    </xf>
    <xf numFmtId="9" fontId="5" fillId="16" borderId="11" xfId="3" applyNumberFormat="1" applyFont="1" applyFill="1" applyBorder="1" applyAlignment="1" applyProtection="1">
      <alignment horizontal="center" vertical="center" wrapText="1"/>
      <protection locked="0"/>
    </xf>
    <xf numFmtId="0" fontId="5" fillId="16" borderId="11" xfId="3" applyFont="1" applyFill="1" applyBorder="1" applyAlignment="1" applyProtection="1">
      <alignment horizontal="center" vertical="center" wrapText="1"/>
      <protection locked="0"/>
    </xf>
    <xf numFmtId="0" fontId="20" fillId="16" borderId="6" xfId="3" applyFont="1" applyFill="1" applyBorder="1" applyAlignment="1" applyProtection="1">
      <alignment vertical="top" wrapText="1"/>
      <protection locked="0"/>
    </xf>
    <xf numFmtId="0" fontId="20" fillId="16" borderId="9" xfId="3" applyFont="1" applyFill="1" applyBorder="1" applyAlignment="1" applyProtection="1">
      <alignment vertical="top" wrapText="1"/>
      <protection locked="0"/>
    </xf>
    <xf numFmtId="0" fontId="20" fillId="16" borderId="12" xfId="3" applyFont="1" applyFill="1" applyBorder="1" applyAlignment="1" applyProtection="1">
      <alignment vertical="top" wrapText="1"/>
      <protection locked="0"/>
    </xf>
    <xf numFmtId="0" fontId="5" fillId="16" borderId="5" xfId="3" applyFont="1" applyFill="1" applyBorder="1" applyAlignment="1" applyProtection="1">
      <alignment horizontal="left" vertical="center" wrapText="1"/>
      <protection locked="0"/>
    </xf>
    <xf numFmtId="0" fontId="20" fillId="16" borderId="5"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44" xfId="3" applyFont="1" applyFill="1" applyBorder="1" applyAlignment="1" applyProtection="1">
      <alignment horizontal="center" vertical="center" wrapText="1"/>
      <protection locked="0"/>
    </xf>
    <xf numFmtId="0" fontId="20" fillId="16" borderId="11" xfId="3" applyFont="1" applyFill="1" applyBorder="1" applyAlignment="1" applyProtection="1">
      <alignment horizontal="center" vertical="center" wrapText="1"/>
      <protection locked="0"/>
    </xf>
    <xf numFmtId="0" fontId="20" fillId="16" borderId="57" xfId="3" applyFont="1" applyFill="1" applyBorder="1" applyAlignment="1" applyProtection="1">
      <alignment horizontal="center" vertical="center" wrapText="1"/>
      <protection locked="0"/>
    </xf>
    <xf numFmtId="0" fontId="20" fillId="16" borderId="6" xfId="3" applyFont="1" applyFill="1" applyBorder="1" applyAlignment="1" applyProtection="1">
      <alignment horizontal="center" wrapText="1"/>
      <protection locked="0"/>
    </xf>
    <xf numFmtId="0" fontId="20" fillId="16" borderId="9" xfId="3" applyFont="1" applyFill="1" applyBorder="1" applyAlignment="1" applyProtection="1">
      <alignment horizontal="center" wrapText="1"/>
      <protection locked="0"/>
    </xf>
    <xf numFmtId="0" fontId="20" fillId="16" borderId="12" xfId="3" applyFont="1" applyFill="1" applyBorder="1" applyAlignment="1" applyProtection="1">
      <alignment horizontal="center" wrapText="1"/>
      <protection locked="0"/>
    </xf>
    <xf numFmtId="9" fontId="20" fillId="16" borderId="24" xfId="4" applyNumberFormat="1" applyFont="1" applyFill="1" applyBorder="1" applyAlignment="1" applyProtection="1">
      <protection locked="0"/>
    </xf>
    <xf numFmtId="9" fontId="20" fillId="16" borderId="25" xfId="5" applyNumberFormat="1" applyFont="1" applyFill="1" applyBorder="1" applyAlignment="1" applyProtection="1">
      <protection locked="0"/>
    </xf>
    <xf numFmtId="0" fontId="20" fillId="16" borderId="29" xfId="3" applyFont="1" applyFill="1" applyBorder="1" applyAlignment="1" applyProtection="1">
      <alignment vertical="top" wrapText="1"/>
      <protection locked="0"/>
    </xf>
    <xf numFmtId="0" fontId="20" fillId="16" borderId="6" xfId="3" applyFill="1" applyBorder="1" applyAlignment="1" applyProtection="1">
      <alignment vertical="center" wrapText="1"/>
      <protection locked="0"/>
    </xf>
    <xf numFmtId="0" fontId="20" fillId="16" borderId="9" xfId="3" applyFont="1" applyFill="1" applyBorder="1" applyAlignment="1" applyProtection="1">
      <alignment vertical="center" wrapText="1"/>
      <protection locked="0"/>
    </xf>
    <xf numFmtId="0" fontId="20" fillId="16" borderId="12" xfId="3" applyFont="1" applyFill="1" applyBorder="1" applyAlignment="1" applyProtection="1">
      <alignment vertical="center" wrapText="1"/>
      <protection locked="0"/>
    </xf>
    <xf numFmtId="44" fontId="20" fillId="16" borderId="29" xfId="5" applyFont="1" applyFill="1" applyBorder="1" applyAlignment="1" applyProtection="1">
      <protection locked="0"/>
    </xf>
    <xf numFmtId="1" fontId="50" fillId="0" borderId="0" xfId="0" applyNumberFormat="1" applyFont="1" applyAlignment="1" applyProtection="1">
      <alignment horizontal="left"/>
    </xf>
    <xf numFmtId="0" fontId="20" fillId="0" borderId="0" xfId="3" applyFill="1"/>
    <xf numFmtId="0" fontId="5" fillId="0" borderId="0" xfId="1" applyFont="1" applyFill="1" applyAlignment="1">
      <alignment horizontal="left"/>
    </xf>
    <xf numFmtId="14" fontId="39" fillId="15" borderId="3" xfId="6" applyNumberFormat="1" applyFont="1" applyFill="1" applyBorder="1" applyAlignment="1" applyProtection="1">
      <alignment horizontal="center"/>
      <protection locked="0"/>
    </xf>
    <xf numFmtId="0" fontId="0" fillId="0" borderId="0" xfId="0" applyProtection="1">
      <protection locked="0"/>
    </xf>
    <xf numFmtId="0" fontId="10" fillId="7" borderId="3" xfId="1" applyFont="1" applyFill="1" applyBorder="1" applyAlignment="1" applyProtection="1">
      <alignment horizontal="left"/>
      <protection locked="0"/>
    </xf>
    <xf numFmtId="0" fontId="10" fillId="0" borderId="3" xfId="1" applyFont="1" applyBorder="1" applyAlignment="1" applyProtection="1">
      <alignment horizontal="left"/>
      <protection locked="0"/>
    </xf>
    <xf numFmtId="0" fontId="10" fillId="3" borderId="3" xfId="1" applyFont="1" applyFill="1" applyBorder="1" applyAlignment="1" applyProtection="1">
      <alignment horizontal="left"/>
      <protection locked="0"/>
    </xf>
    <xf numFmtId="0" fontId="10" fillId="3" borderId="16" xfId="1" applyFont="1" applyFill="1" applyBorder="1" applyAlignment="1" applyProtection="1">
      <alignment horizontal="left"/>
      <protection locked="0"/>
    </xf>
    <xf numFmtId="0" fontId="10" fillId="0" borderId="16" xfId="1" applyFont="1" applyBorder="1" applyAlignment="1" applyProtection="1">
      <alignment horizontal="left"/>
      <protection locked="0"/>
    </xf>
    <xf numFmtId="1" fontId="22" fillId="0" borderId="31" xfId="3" applyNumberFormat="1" applyFont="1" applyBorder="1" applyAlignment="1" applyProtection="1"/>
    <xf numFmtId="1" fontId="46" fillId="0" borderId="0" xfId="6" applyNumberFormat="1" applyFont="1" applyFill="1" applyBorder="1" applyAlignment="1" applyProtection="1">
      <alignment horizontal="right"/>
    </xf>
    <xf numFmtId="0" fontId="21" fillId="0" borderId="27" xfId="3" applyFont="1" applyBorder="1" applyAlignment="1">
      <alignment horizontal="center" wrapText="1"/>
    </xf>
    <xf numFmtId="0" fontId="21" fillId="0" borderId="4" xfId="3" applyFont="1" applyBorder="1" applyAlignment="1">
      <alignment wrapText="1"/>
    </xf>
    <xf numFmtId="0" fontId="25" fillId="0" borderId="39" xfId="3" applyFont="1" applyBorder="1" applyAlignment="1"/>
    <xf numFmtId="0" fontId="25" fillId="0" borderId="10" xfId="3" applyFont="1" applyBorder="1" applyAlignment="1"/>
    <xf numFmtId="0" fontId="20" fillId="10" borderId="10" xfId="3" applyFill="1" applyBorder="1" applyAlignment="1" applyProtection="1">
      <alignment horizontal="center"/>
    </xf>
    <xf numFmtId="0" fontId="20" fillId="10" borderId="25" xfId="3" applyFill="1" applyBorder="1" applyAlignment="1" applyProtection="1"/>
    <xf numFmtId="9" fontId="0" fillId="0" borderId="0" xfId="0" applyNumberFormat="1" applyProtection="1"/>
    <xf numFmtId="0" fontId="25" fillId="0" borderId="6" xfId="3" applyFont="1" applyFill="1" applyBorder="1" applyAlignment="1" applyProtection="1">
      <alignment horizontal="center" vertical="center" wrapText="1"/>
    </xf>
    <xf numFmtId="0" fontId="25" fillId="0" borderId="9" xfId="3" applyFont="1" applyFill="1" applyBorder="1" applyAlignment="1" applyProtection="1">
      <alignment horizontal="center" vertical="center" wrapText="1"/>
    </xf>
    <xf numFmtId="0" fontId="25" fillId="0" borderId="12" xfId="3" applyFont="1" applyFill="1" applyBorder="1" applyAlignment="1" applyProtection="1">
      <alignment horizontal="center" vertical="center" wrapText="1"/>
    </xf>
    <xf numFmtId="9" fontId="0" fillId="0" borderId="0" xfId="0" applyNumberFormat="1" applyProtection="1">
      <protection hidden="1"/>
    </xf>
    <xf numFmtId="0" fontId="0" fillId="0" borderId="0" xfId="0" applyProtection="1">
      <protection hidden="1"/>
    </xf>
    <xf numFmtId="9" fontId="25" fillId="16" borderId="65" xfId="3" applyNumberFormat="1" applyFont="1" applyFill="1" applyBorder="1" applyAlignment="1" applyProtection="1">
      <alignment horizontal="center" vertical="center" wrapText="1"/>
      <protection locked="0"/>
    </xf>
    <xf numFmtId="9" fontId="20" fillId="16" borderId="65" xfId="3" applyNumberFormat="1" applyFont="1" applyFill="1" applyBorder="1" applyAlignment="1" applyProtection="1">
      <alignment horizontal="center" vertical="center" wrapText="1"/>
      <protection locked="0"/>
    </xf>
    <xf numFmtId="9" fontId="20" fillId="16" borderId="3" xfId="3" applyNumberFormat="1" applyFont="1" applyFill="1" applyBorder="1" applyAlignment="1" applyProtection="1">
      <alignment horizontal="center" vertical="center" wrapText="1"/>
      <protection locked="0"/>
    </xf>
    <xf numFmtId="9" fontId="0" fillId="0" borderId="0" xfId="0" applyNumberFormat="1"/>
    <xf numFmtId="0" fontId="46" fillId="0" borderId="0" xfId="6" applyFont="1" applyFill="1" applyAlignment="1" applyProtection="1">
      <alignment horizontal="left"/>
    </xf>
    <xf numFmtId="0" fontId="46" fillId="0" borderId="3" xfId="6" applyFont="1" applyFill="1" applyBorder="1" applyAlignment="1" applyProtection="1">
      <alignment horizontal="center"/>
    </xf>
    <xf numFmtId="0" fontId="45" fillId="0" borderId="0" xfId="6" applyFont="1" applyFill="1" applyAlignment="1" applyProtection="1">
      <alignment horizontal="right"/>
    </xf>
    <xf numFmtId="0" fontId="46" fillId="0" borderId="0" xfId="6" applyFont="1" applyFill="1" applyAlignment="1" applyProtection="1">
      <alignment horizontal="right"/>
    </xf>
    <xf numFmtId="1" fontId="39" fillId="0" borderId="63" xfId="6" applyNumberFormat="1" applyFont="1" applyFill="1" applyBorder="1" applyAlignment="1" applyProtection="1">
      <alignment horizontal="center"/>
    </xf>
    <xf numFmtId="0" fontId="46" fillId="0" borderId="0" xfId="6" applyFont="1" applyFill="1" applyBorder="1" applyAlignment="1" applyProtection="1">
      <alignment horizontal="right"/>
    </xf>
    <xf numFmtId="14" fontId="39" fillId="0" borderId="63" xfId="6" applyNumberFormat="1" applyFont="1" applyFill="1" applyBorder="1" applyAlignment="1" applyProtection="1">
      <alignment horizontal="center"/>
    </xf>
    <xf numFmtId="0" fontId="39" fillId="0" borderId="0" xfId="6" applyFont="1" applyFill="1" applyAlignment="1" applyProtection="1">
      <alignment horizontal="right"/>
    </xf>
    <xf numFmtId="1" fontId="39" fillId="0" borderId="3" xfId="6" applyNumberFormat="1" applyFont="1" applyFill="1" applyBorder="1" applyAlignment="1" applyProtection="1">
      <alignment horizontal="center"/>
    </xf>
    <xf numFmtId="49" fontId="39" fillId="0" borderId="63" xfId="6" applyNumberFormat="1" applyFont="1" applyFill="1" applyBorder="1" applyAlignment="1" applyProtection="1">
      <alignment horizontal="center"/>
    </xf>
    <xf numFmtId="49" fontId="39" fillId="0" borderId="3" xfId="6" applyNumberFormat="1" applyFont="1" applyFill="1" applyBorder="1" applyAlignment="1" applyProtection="1">
      <alignment horizontal="center"/>
    </xf>
    <xf numFmtId="9" fontId="25" fillId="0" borderId="25" xfId="3" applyNumberFormat="1" applyFont="1" applyFill="1" applyBorder="1" applyAlignment="1" applyProtection="1">
      <alignment horizontal="center" vertical="center" wrapText="1"/>
    </xf>
    <xf numFmtId="9" fontId="5" fillId="0" borderId="10" xfId="3" applyNumberFormat="1" applyFont="1" applyBorder="1" applyAlignment="1" applyProtection="1">
      <alignment horizontal="center" vertical="center"/>
    </xf>
    <xf numFmtId="9" fontId="5" fillId="0" borderId="12" xfId="3" applyNumberFormat="1" applyFont="1" applyBorder="1" applyAlignment="1" applyProtection="1">
      <alignment horizontal="center" vertical="center"/>
    </xf>
    <xf numFmtId="0" fontId="5" fillId="0" borderId="6" xfId="3" applyFont="1" applyFill="1" applyBorder="1" applyAlignment="1" applyProtection="1">
      <alignment horizontal="center" vertical="center" wrapText="1"/>
    </xf>
    <xf numFmtId="0" fontId="5" fillId="0" borderId="9" xfId="3" applyFont="1" applyFill="1" applyBorder="1" applyAlignment="1" applyProtection="1">
      <alignment horizontal="center" vertical="center" wrapText="1"/>
    </xf>
    <xf numFmtId="0" fontId="5" fillId="0" borderId="12" xfId="3" applyFont="1" applyFill="1" applyBorder="1" applyAlignment="1" applyProtection="1">
      <alignment horizontal="center" vertical="center" wrapText="1"/>
    </xf>
    <xf numFmtId="0" fontId="20" fillId="0" borderId="0" xfId="3" applyFont="1" applyBorder="1" applyAlignment="1" applyProtection="1">
      <alignment horizontal="center"/>
    </xf>
    <xf numFmtId="0" fontId="22" fillId="0" borderId="31" xfId="3" applyFont="1" applyBorder="1" applyAlignment="1" applyProtection="1">
      <alignment horizontal="center"/>
    </xf>
    <xf numFmtId="0" fontId="25" fillId="0" borderId="0" xfId="3" applyFont="1" applyAlignment="1">
      <alignment horizontal="right"/>
    </xf>
    <xf numFmtId="0" fontId="25" fillId="0" borderId="0" xfId="3" applyFont="1" applyAlignment="1" applyProtection="1">
      <alignment horizontal="right"/>
    </xf>
    <xf numFmtId="0" fontId="22" fillId="0" borderId="0" xfId="3" applyFont="1" applyAlignment="1" applyProtection="1">
      <alignment horizontal="right"/>
    </xf>
    <xf numFmtId="9" fontId="25" fillId="0" borderId="25" xfId="3" applyNumberFormat="1" applyFont="1" applyFill="1" applyBorder="1" applyAlignment="1" applyProtection="1">
      <alignment horizontal="center" vertical="center" wrapText="1"/>
    </xf>
    <xf numFmtId="0" fontId="25" fillId="0" borderId="48" xfId="3" applyFont="1" applyFill="1" applyBorder="1" applyAlignment="1" applyProtection="1">
      <alignment horizontal="center" vertical="center" wrapText="1"/>
    </xf>
    <xf numFmtId="0" fontId="20" fillId="16" borderId="5"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11" xfId="3" applyFont="1" applyFill="1" applyBorder="1" applyAlignment="1" applyProtection="1">
      <alignment horizontal="center" vertical="center" wrapText="1"/>
      <protection locked="0"/>
    </xf>
    <xf numFmtId="9" fontId="25" fillId="0" borderId="25" xfId="3" applyNumberFormat="1" applyFont="1" applyFill="1" applyBorder="1" applyAlignment="1" applyProtection="1">
      <alignment horizontal="center" vertical="center" wrapText="1"/>
    </xf>
    <xf numFmtId="9" fontId="5" fillId="16" borderId="8" xfId="3" applyNumberFormat="1" applyFont="1" applyFill="1" applyBorder="1" applyAlignment="1" applyProtection="1">
      <alignment horizontal="center" vertical="center" wrapText="1"/>
      <protection locked="0"/>
    </xf>
    <xf numFmtId="9" fontId="5" fillId="16" borderId="10" xfId="3" applyNumberFormat="1" applyFont="1" applyFill="1" applyBorder="1" applyAlignment="1" applyProtection="1">
      <alignment horizontal="center" vertical="center" wrapText="1"/>
      <protection locked="0"/>
    </xf>
    <xf numFmtId="9" fontId="25" fillId="16" borderId="11" xfId="3" applyNumberFormat="1" applyFont="1" applyFill="1" applyBorder="1" applyAlignment="1" applyProtection="1">
      <alignment horizontal="center" vertical="center" wrapText="1"/>
      <protection locked="0"/>
    </xf>
    <xf numFmtId="9" fontId="25" fillId="0" borderId="25" xfId="3" applyNumberFormat="1" applyFont="1" applyFill="1" applyBorder="1" applyAlignment="1" applyProtection="1">
      <alignment horizontal="center" vertical="center" wrapText="1"/>
    </xf>
    <xf numFmtId="0" fontId="31" fillId="0" borderId="24" xfId="3" applyFont="1" applyBorder="1" applyAlignment="1">
      <alignment horizontal="left" vertical="center" wrapText="1"/>
    </xf>
    <xf numFmtId="0" fontId="31" fillId="0" borderId="21" xfId="3" applyFont="1" applyBorder="1" applyAlignment="1">
      <alignment horizontal="left" vertical="center" wrapText="1"/>
    </xf>
    <xf numFmtId="0" fontId="20" fillId="0" borderId="10" xfId="3" applyFont="1" applyBorder="1" applyAlignment="1">
      <alignment horizontal="center" vertical="center" wrapText="1"/>
    </xf>
    <xf numFmtId="9" fontId="20" fillId="0" borderId="0" xfId="3" applyNumberFormat="1"/>
    <xf numFmtId="9" fontId="5" fillId="16" borderId="52" xfId="3" applyNumberFormat="1" applyFont="1" applyFill="1" applyBorder="1" applyAlignment="1" applyProtection="1">
      <alignment horizontal="center" vertical="center" wrapText="1"/>
      <protection locked="0"/>
    </xf>
    <xf numFmtId="0" fontId="51" fillId="0" borderId="0" xfId="0" applyFont="1"/>
    <xf numFmtId="0" fontId="51" fillId="0" borderId="0" xfId="0" applyFont="1" applyProtection="1">
      <protection locked="0"/>
    </xf>
    <xf numFmtId="0" fontId="3" fillId="0" borderId="25" xfId="3" applyFont="1" applyBorder="1" applyAlignment="1" applyProtection="1">
      <alignment wrapText="1"/>
      <protection locked="0"/>
    </xf>
    <xf numFmtId="0" fontId="3" fillId="0" borderId="29" xfId="3" applyFont="1" applyBorder="1" applyAlignment="1" applyProtection="1">
      <alignment wrapText="1"/>
      <protection locked="0"/>
    </xf>
    <xf numFmtId="14" fontId="3" fillId="0" borderId="25" xfId="3" applyNumberFormat="1" applyFont="1" applyBorder="1" applyAlignment="1" applyProtection="1">
      <alignment wrapText="1"/>
      <protection locked="0"/>
    </xf>
    <xf numFmtId="14" fontId="3" fillId="0" borderId="29" xfId="3" applyNumberFormat="1" applyFont="1" applyBorder="1" applyAlignment="1" applyProtection="1">
      <alignment wrapText="1"/>
      <protection locked="0"/>
    </xf>
    <xf numFmtId="0" fontId="33" fillId="0" borderId="24" xfId="3" applyFont="1" applyBorder="1" applyAlignment="1" applyProtection="1">
      <alignment horizontal="right" wrapText="1"/>
      <protection locked="0"/>
    </xf>
    <xf numFmtId="0" fontId="33" fillId="0" borderId="25" xfId="3" applyFont="1" applyBorder="1" applyAlignment="1" applyProtection="1">
      <alignment horizontal="right" wrapText="1"/>
      <protection locked="0"/>
    </xf>
    <xf numFmtId="0" fontId="47" fillId="0" borderId="16" xfId="6" applyFont="1" applyFill="1" applyBorder="1" applyAlignment="1" applyProtection="1">
      <alignment horizontal="left"/>
      <protection locked="0"/>
    </xf>
    <xf numFmtId="0" fontId="47" fillId="0" borderId="23" xfId="6" applyFont="1" applyFill="1" applyBorder="1" applyAlignment="1" applyProtection="1">
      <alignment horizontal="left"/>
      <protection locked="0"/>
    </xf>
    <xf numFmtId="0" fontId="3" fillId="2" borderId="26" xfId="1" applyFont="1" applyFill="1" applyBorder="1" applyAlignment="1" applyProtection="1">
      <alignment horizontal="center"/>
    </xf>
    <xf numFmtId="0" fontId="3" fillId="2" borderId="27" xfId="1" applyFont="1" applyFill="1" applyBorder="1" applyAlignment="1" applyProtection="1">
      <alignment horizontal="center"/>
    </xf>
    <xf numFmtId="0" fontId="3" fillId="2" borderId="28" xfId="1" applyFont="1" applyFill="1" applyBorder="1" applyAlignment="1" applyProtection="1">
      <alignment horizontal="center"/>
    </xf>
    <xf numFmtId="0" fontId="3" fillId="0" borderId="21" xfId="0" applyFont="1" applyBorder="1" applyAlignment="1" applyProtection="1">
      <alignment horizontal="center"/>
    </xf>
    <xf numFmtId="0" fontId="3" fillId="0" borderId="0" xfId="0" applyFont="1" applyBorder="1" applyAlignment="1" applyProtection="1">
      <alignment horizontal="center"/>
    </xf>
    <xf numFmtId="0" fontId="3" fillId="0" borderId="22" xfId="0" applyFont="1" applyBorder="1" applyAlignment="1" applyProtection="1">
      <alignment horizontal="center"/>
    </xf>
    <xf numFmtId="0" fontId="3" fillId="0" borderId="24" xfId="0" applyFont="1" applyBorder="1" applyAlignment="1" applyProtection="1">
      <alignment horizontal="center"/>
    </xf>
    <xf numFmtId="0" fontId="3" fillId="0" borderId="25" xfId="0" applyFont="1" applyBorder="1" applyAlignment="1" applyProtection="1">
      <alignment horizontal="center"/>
    </xf>
    <xf numFmtId="0" fontId="3" fillId="0" borderId="29" xfId="0" applyFont="1" applyBorder="1" applyAlignment="1" applyProtection="1">
      <alignment horizontal="center"/>
    </xf>
    <xf numFmtId="0" fontId="49" fillId="0" borderId="0" xfId="6" applyFont="1" applyAlignment="1" applyProtection="1">
      <alignment horizontal="center" vertical="center"/>
    </xf>
    <xf numFmtId="0" fontId="0" fillId="0" borderId="31" xfId="0" applyBorder="1" applyAlignment="1" applyProtection="1">
      <alignment horizontal="center"/>
    </xf>
    <xf numFmtId="0" fontId="46" fillId="0" borderId="16" xfId="6" applyFont="1" applyFill="1" applyBorder="1" applyAlignment="1" applyProtection="1">
      <alignment horizontal="center"/>
    </xf>
    <xf numFmtId="0" fontId="46" fillId="0" borderId="30" xfId="6" applyFont="1" applyFill="1" applyBorder="1" applyAlignment="1" applyProtection="1">
      <alignment horizontal="center"/>
    </xf>
    <xf numFmtId="0" fontId="46" fillId="0" borderId="0" xfId="6" applyFont="1" applyFill="1" applyAlignment="1" applyProtection="1">
      <alignment horizontal="left"/>
    </xf>
    <xf numFmtId="0" fontId="46" fillId="0" borderId="62" xfId="6" applyFont="1" applyFill="1" applyBorder="1" applyAlignment="1" applyProtection="1">
      <alignment horizontal="left"/>
    </xf>
    <xf numFmtId="0" fontId="47" fillId="0" borderId="16" xfId="6" applyFont="1" applyFill="1" applyBorder="1" applyAlignment="1" applyProtection="1">
      <alignment horizontal="left"/>
    </xf>
    <xf numFmtId="0" fontId="47" fillId="0" borderId="23" xfId="6" applyFont="1" applyFill="1" applyBorder="1" applyAlignment="1" applyProtection="1">
      <alignment horizontal="left"/>
    </xf>
    <xf numFmtId="0" fontId="47" fillId="0" borderId="30" xfId="6" applyFont="1" applyFill="1" applyBorder="1" applyAlignment="1" applyProtection="1">
      <alignment horizontal="left"/>
    </xf>
    <xf numFmtId="0" fontId="46" fillId="0" borderId="55" xfId="6" applyFont="1" applyFill="1" applyBorder="1" applyAlignment="1" applyProtection="1">
      <alignment horizontal="left"/>
    </xf>
    <xf numFmtId="0" fontId="46" fillId="0" borderId="56" xfId="6" applyFont="1" applyFill="1" applyBorder="1" applyAlignment="1" applyProtection="1">
      <alignment horizontal="left"/>
    </xf>
    <xf numFmtId="0" fontId="48" fillId="0" borderId="16" xfId="6" applyFont="1" applyFill="1" applyBorder="1" applyAlignment="1" applyProtection="1">
      <alignment horizontal="left"/>
    </xf>
    <xf numFmtId="0" fontId="48" fillId="0" borderId="23" xfId="6" applyFont="1" applyFill="1" applyBorder="1" applyAlignment="1" applyProtection="1">
      <alignment horizontal="left"/>
    </xf>
    <xf numFmtId="0" fontId="48" fillId="0" borderId="30" xfId="6" applyFont="1" applyFill="1" applyBorder="1" applyAlignment="1" applyProtection="1">
      <alignment horizontal="left"/>
    </xf>
    <xf numFmtId="0" fontId="6" fillId="4" borderId="26" xfId="1" applyFont="1" applyFill="1" applyBorder="1" applyAlignment="1" applyProtection="1">
      <alignment horizontal="center" vertical="center" wrapText="1"/>
    </xf>
    <xf numFmtId="0" fontId="6" fillId="4" borderId="27" xfId="1" applyFont="1" applyFill="1" applyBorder="1" applyAlignment="1" applyProtection="1">
      <alignment horizontal="center" vertical="center" wrapText="1"/>
    </xf>
    <xf numFmtId="0" fontId="6" fillId="4" borderId="28" xfId="1" applyFont="1" applyFill="1" applyBorder="1" applyAlignment="1" applyProtection="1">
      <alignment horizontal="center" vertical="center" wrapText="1"/>
    </xf>
    <xf numFmtId="0" fontId="6" fillId="4" borderId="21" xfId="1" applyFont="1" applyFill="1" applyBorder="1" applyAlignment="1" applyProtection="1">
      <alignment horizontal="center" vertical="center" wrapText="1"/>
    </xf>
    <xf numFmtId="0" fontId="6" fillId="4" borderId="0" xfId="1" applyFont="1" applyFill="1" applyBorder="1" applyAlignment="1" applyProtection="1">
      <alignment horizontal="center" vertical="center" wrapText="1"/>
    </xf>
    <xf numFmtId="0" fontId="6" fillId="4" borderId="22" xfId="1" applyFont="1" applyFill="1" applyBorder="1" applyAlignment="1" applyProtection="1">
      <alignment horizontal="center" vertical="center" wrapText="1"/>
    </xf>
    <xf numFmtId="0" fontId="6" fillId="4" borderId="24" xfId="1" applyFont="1" applyFill="1" applyBorder="1" applyAlignment="1" applyProtection="1">
      <alignment horizontal="center" vertical="center" wrapText="1"/>
    </xf>
    <xf numFmtId="0" fontId="6" fillId="4" borderId="25" xfId="1" applyFont="1" applyFill="1" applyBorder="1" applyAlignment="1" applyProtection="1">
      <alignment horizontal="center" vertical="center" wrapText="1"/>
    </xf>
    <xf numFmtId="0" fontId="6" fillId="4" borderId="29" xfId="1" applyFont="1" applyFill="1" applyBorder="1" applyAlignment="1" applyProtection="1">
      <alignment horizontal="center" vertical="center" wrapText="1"/>
    </xf>
    <xf numFmtId="0" fontId="20" fillId="0" borderId="25" xfId="3" applyFont="1" applyBorder="1" applyAlignment="1" applyProtection="1">
      <alignment horizontal="center"/>
    </xf>
    <xf numFmtId="0" fontId="22" fillId="0" borderId="13" xfId="3" applyFont="1" applyBorder="1" applyAlignment="1" applyProtection="1">
      <alignment horizontal="center" wrapText="1"/>
    </xf>
    <xf numFmtId="0" fontId="22" fillId="0" borderId="15" xfId="3" applyFont="1" applyBorder="1" applyAlignment="1" applyProtection="1">
      <alignment horizontal="center" wrapText="1"/>
    </xf>
    <xf numFmtId="0" fontId="25" fillId="0" borderId="0" xfId="3" applyFont="1" applyAlignment="1" applyProtection="1">
      <alignment horizontal="center" wrapText="1"/>
    </xf>
    <xf numFmtId="0" fontId="25" fillId="0" borderId="25" xfId="3" applyFont="1" applyBorder="1" applyAlignment="1" applyProtection="1">
      <alignment horizontal="center" wrapText="1"/>
    </xf>
    <xf numFmtId="0" fontId="20" fillId="0" borderId="0" xfId="3" applyFont="1" applyBorder="1" applyAlignment="1" applyProtection="1">
      <alignment horizontal="center"/>
    </xf>
    <xf numFmtId="0" fontId="23" fillId="9" borderId="16" xfId="3" applyFont="1" applyFill="1" applyBorder="1" applyAlignment="1" applyProtection="1">
      <alignment horizontal="center"/>
    </xf>
    <xf numFmtId="0" fontId="23" fillId="9" borderId="23" xfId="3" applyFont="1" applyFill="1" applyBorder="1" applyAlignment="1" applyProtection="1">
      <alignment horizontal="center"/>
    </xf>
    <xf numFmtId="0" fontId="22" fillId="0" borderId="0" xfId="3" applyFont="1" applyBorder="1" applyAlignment="1" applyProtection="1">
      <alignment horizontal="right"/>
    </xf>
    <xf numFmtId="0" fontId="24" fillId="0" borderId="0" xfId="3" applyFont="1" applyAlignment="1" applyProtection="1">
      <alignment horizontal="center" vertical="center" wrapText="1"/>
    </xf>
    <xf numFmtId="0" fontId="25" fillId="0" borderId="0" xfId="3" applyFont="1" applyBorder="1" applyAlignment="1" applyProtection="1">
      <alignment horizontal="center"/>
    </xf>
    <xf numFmtId="1" fontId="22" fillId="0" borderId="31" xfId="3" applyNumberFormat="1" applyFont="1" applyBorder="1" applyAlignment="1" applyProtection="1">
      <alignment horizontal="center"/>
    </xf>
    <xf numFmtId="0" fontId="22" fillId="0" borderId="31" xfId="3" applyFont="1" applyBorder="1" applyAlignment="1" applyProtection="1">
      <alignment horizontal="center"/>
    </xf>
    <xf numFmtId="14" fontId="22" fillId="0" borderId="31" xfId="3" applyNumberFormat="1" applyFont="1" applyBorder="1" applyAlignment="1" applyProtection="1">
      <alignment horizontal="center"/>
    </xf>
    <xf numFmtId="0" fontId="24" fillId="0" borderId="0" xfId="3" applyFont="1" applyBorder="1" applyAlignment="1" applyProtection="1">
      <alignment horizontal="center" vertical="center" wrapText="1"/>
    </xf>
    <xf numFmtId="49" fontId="0" fillId="0" borderId="0" xfId="0" applyNumberFormat="1" applyAlignment="1">
      <alignment vertical="center"/>
    </xf>
    <xf numFmtId="0" fontId="0" fillId="0" borderId="0" xfId="0" applyAlignment="1">
      <alignment vertical="center"/>
    </xf>
    <xf numFmtId="0" fontId="25" fillId="0" borderId="24" xfId="3" applyFont="1" applyBorder="1" applyAlignment="1" applyProtection="1">
      <alignment horizontal="center"/>
      <protection locked="0"/>
    </xf>
    <xf numFmtId="0" fontId="25" fillId="0" borderId="29" xfId="3" applyFont="1" applyBorder="1" applyAlignment="1" applyProtection="1">
      <alignment horizontal="center"/>
      <protection locked="0"/>
    </xf>
    <xf numFmtId="0" fontId="21" fillId="0" borderId="26" xfId="3" applyFont="1" applyBorder="1" applyAlignment="1" applyProtection="1">
      <alignment horizontal="left" vertical="top" wrapText="1"/>
      <protection locked="0"/>
    </xf>
    <xf numFmtId="0" fontId="21" fillId="0" borderId="27" xfId="3" applyFont="1" applyBorder="1" applyAlignment="1" applyProtection="1">
      <alignment horizontal="left" vertical="top" wrapText="1"/>
      <protection locked="0"/>
    </xf>
    <xf numFmtId="0" fontId="21" fillId="0" borderId="28" xfId="3" applyFont="1" applyBorder="1" applyAlignment="1" applyProtection="1">
      <alignment horizontal="left" vertical="top" wrapText="1"/>
      <protection locked="0"/>
    </xf>
    <xf numFmtId="0" fontId="21" fillId="0" borderId="24" xfId="3" applyFont="1" applyBorder="1" applyAlignment="1" applyProtection="1">
      <alignment horizontal="left" vertical="top" wrapText="1"/>
      <protection locked="0"/>
    </xf>
    <xf numFmtId="0" fontId="21" fillId="0" borderId="25" xfId="3" applyFont="1" applyBorder="1" applyAlignment="1" applyProtection="1">
      <alignment horizontal="left" vertical="top" wrapText="1"/>
      <protection locked="0"/>
    </xf>
    <xf numFmtId="0" fontId="21" fillId="0" borderId="29" xfId="3" applyFont="1" applyBorder="1" applyAlignment="1" applyProtection="1">
      <alignment horizontal="left" vertical="top" wrapText="1"/>
      <protection locked="0"/>
    </xf>
    <xf numFmtId="0" fontId="21" fillId="0" borderId="37" xfId="3" applyFont="1" applyBorder="1" applyAlignment="1">
      <alignment horizontal="left"/>
    </xf>
    <xf numFmtId="0" fontId="21" fillId="0" borderId="26" xfId="3" applyFont="1" applyBorder="1" applyAlignment="1" applyProtection="1">
      <alignment horizontal="center" wrapText="1"/>
      <protection locked="0"/>
    </xf>
    <xf numFmtId="0" fontId="21" fillId="0" borderId="28" xfId="3" applyFont="1" applyBorder="1" applyAlignment="1" applyProtection="1">
      <alignment horizontal="center" wrapText="1"/>
      <protection locked="0"/>
    </xf>
    <xf numFmtId="0" fontId="21" fillId="0" borderId="52" xfId="3" applyFont="1" applyBorder="1" applyAlignment="1">
      <alignment horizontal="center" wrapText="1"/>
    </xf>
    <xf numFmtId="0" fontId="21" fillId="0" borderId="46" xfId="3" applyFont="1" applyBorder="1" applyAlignment="1">
      <alignment horizontal="center" wrapText="1"/>
    </xf>
    <xf numFmtId="0" fontId="32" fillId="0" borderId="45" xfId="3" applyFont="1" applyBorder="1" applyAlignment="1" applyProtection="1">
      <alignment horizontal="center" wrapText="1"/>
      <protection locked="0"/>
    </xf>
    <xf numFmtId="0" fontId="32" fillId="0" borderId="38" xfId="3" applyFont="1" applyBorder="1" applyAlignment="1" applyProtection="1">
      <alignment horizontal="center" wrapText="1"/>
      <protection locked="0"/>
    </xf>
    <xf numFmtId="0" fontId="32" fillId="0" borderId="53" xfId="3" applyFont="1" applyBorder="1" applyAlignment="1" applyProtection="1">
      <alignment horizontal="center" wrapText="1"/>
      <protection locked="0"/>
    </xf>
    <xf numFmtId="0" fontId="32" fillId="16" borderId="38" xfId="3" applyFont="1" applyFill="1" applyBorder="1" applyAlignment="1" applyProtection="1">
      <alignment horizontal="center" wrapText="1"/>
      <protection locked="0"/>
    </xf>
    <xf numFmtId="0" fontId="32" fillId="16" borderId="39" xfId="3" applyFont="1" applyFill="1" applyBorder="1" applyAlignment="1" applyProtection="1">
      <alignment horizontal="center" wrapText="1"/>
      <protection locked="0"/>
    </xf>
    <xf numFmtId="0" fontId="25" fillId="16" borderId="21" xfId="3" applyFont="1" applyFill="1" applyBorder="1" applyAlignment="1" applyProtection="1">
      <alignment horizontal="center" vertical="center"/>
      <protection locked="0"/>
    </xf>
    <xf numFmtId="0" fontId="25" fillId="16" borderId="22" xfId="3" applyFont="1" applyFill="1" applyBorder="1" applyAlignment="1" applyProtection="1">
      <alignment horizontal="center" vertical="center"/>
      <protection locked="0"/>
    </xf>
    <xf numFmtId="0" fontId="25" fillId="16" borderId="24" xfId="3" applyFont="1" applyFill="1" applyBorder="1" applyAlignment="1" applyProtection="1">
      <alignment horizontal="center" vertical="center"/>
      <protection locked="0"/>
    </xf>
    <xf numFmtId="0" fontId="25" fillId="16" borderId="29" xfId="3" applyFont="1" applyFill="1" applyBorder="1" applyAlignment="1" applyProtection="1">
      <alignment horizontal="center" vertical="center"/>
      <protection locked="0"/>
    </xf>
    <xf numFmtId="0" fontId="3" fillId="0" borderId="24" xfId="3" applyFont="1" applyBorder="1" applyAlignment="1" applyProtection="1">
      <alignment horizontal="center" wrapText="1"/>
      <protection locked="0"/>
    </xf>
    <xf numFmtId="0" fontId="3" fillId="0" borderId="25" xfId="3" applyFont="1" applyBorder="1" applyAlignment="1" applyProtection="1">
      <alignment horizontal="center" wrapText="1"/>
      <protection locked="0"/>
    </xf>
    <xf numFmtId="14" fontId="3" fillId="0" borderId="24" xfId="3" applyNumberFormat="1" applyFont="1" applyBorder="1" applyAlignment="1" applyProtection="1">
      <alignment horizontal="center" wrapText="1"/>
      <protection locked="0"/>
    </xf>
    <xf numFmtId="14" fontId="3" fillId="0" borderId="25" xfId="3" applyNumberFormat="1" applyFont="1" applyBorder="1" applyAlignment="1" applyProtection="1">
      <alignment horizontal="center" wrapText="1"/>
      <protection locked="0"/>
    </xf>
    <xf numFmtId="0" fontId="33" fillId="0" borderId="26" xfId="3" applyFont="1" applyBorder="1" applyAlignment="1">
      <alignment horizontal="center" wrapText="1"/>
    </xf>
    <xf numFmtId="0" fontId="33" fillId="0" borderId="28" xfId="3" applyFont="1" applyBorder="1" applyAlignment="1">
      <alignment horizontal="center" wrapText="1"/>
    </xf>
    <xf numFmtId="0" fontId="35" fillId="0" borderId="0" xfId="3" applyFont="1" applyAlignment="1">
      <alignment horizontal="center" vertical="top" wrapText="1"/>
    </xf>
    <xf numFmtId="0" fontId="25" fillId="0" borderId="24" xfId="3" applyFont="1" applyBorder="1" applyAlignment="1" applyProtection="1">
      <alignment horizontal="center"/>
    </xf>
    <xf numFmtId="0" fontId="25" fillId="0" borderId="29" xfId="3" applyFont="1" applyBorder="1" applyAlignment="1" applyProtection="1">
      <alignment horizontal="center"/>
    </xf>
    <xf numFmtId="0" fontId="21" fillId="0" borderId="26" xfId="3" applyFont="1" applyBorder="1" applyAlignment="1">
      <alignment horizontal="left"/>
    </xf>
    <xf numFmtId="0" fontId="21" fillId="0" borderId="27" xfId="3" applyFont="1" applyBorder="1" applyAlignment="1">
      <alignment horizontal="left"/>
    </xf>
    <xf numFmtId="0" fontId="21" fillId="0" borderId="28" xfId="3" applyFont="1" applyBorder="1" applyAlignment="1">
      <alignment horizontal="left"/>
    </xf>
    <xf numFmtId="0" fontId="21" fillId="0" borderId="26" xfId="3" applyFont="1" applyBorder="1" applyAlignment="1">
      <alignment horizontal="center" wrapText="1"/>
    </xf>
    <xf numFmtId="0" fontId="21" fillId="0" borderId="28" xfId="3" applyFont="1" applyBorder="1" applyAlignment="1">
      <alignment horizontal="center" wrapText="1"/>
    </xf>
    <xf numFmtId="0" fontId="21" fillId="0" borderId="27" xfId="3" applyFont="1" applyBorder="1" applyAlignment="1">
      <alignment horizontal="center" wrapText="1"/>
    </xf>
    <xf numFmtId="0" fontId="21" fillId="0" borderId="21" xfId="3" applyFont="1" applyBorder="1" applyAlignment="1">
      <alignment horizontal="left" vertical="center" wrapText="1"/>
    </xf>
    <xf numFmtId="0" fontId="21" fillId="0" borderId="0" xfId="3" applyFont="1" applyBorder="1" applyAlignment="1">
      <alignment horizontal="left" vertical="center" wrapText="1"/>
    </xf>
    <xf numFmtId="0" fontId="21" fillId="0" borderId="22" xfId="3" applyFont="1" applyBorder="1" applyAlignment="1">
      <alignment horizontal="left" vertical="center" wrapText="1"/>
    </xf>
    <xf numFmtId="0" fontId="21" fillId="0" borderId="24" xfId="3" applyFont="1" applyBorder="1" applyAlignment="1">
      <alignment horizontal="left" vertical="center" wrapText="1"/>
    </xf>
    <xf numFmtId="0" fontId="21" fillId="0" borderId="25" xfId="3" applyFont="1" applyBorder="1" applyAlignment="1">
      <alignment horizontal="left" vertical="center" wrapText="1"/>
    </xf>
    <xf numFmtId="0" fontId="21" fillId="0" borderId="29" xfId="3" applyFont="1" applyBorder="1" applyAlignment="1">
      <alignment horizontal="left" vertical="center" wrapText="1"/>
    </xf>
    <xf numFmtId="0" fontId="21" fillId="0" borderId="22" xfId="3" applyFont="1" applyBorder="1" applyAlignment="1">
      <alignment horizontal="center" wrapText="1"/>
    </xf>
    <xf numFmtId="0" fontId="21" fillId="0" borderId="26" xfId="3" applyFont="1" applyBorder="1" applyAlignment="1">
      <alignment horizontal="left" vertical="top" wrapText="1"/>
    </xf>
    <xf numFmtId="0" fontId="21" fillId="0" borderId="27" xfId="3" applyFont="1" applyBorder="1" applyAlignment="1">
      <alignment horizontal="left" vertical="top" wrapText="1"/>
    </xf>
    <xf numFmtId="0" fontId="21" fillId="0" borderId="28" xfId="3" applyFont="1" applyBorder="1" applyAlignment="1">
      <alignment horizontal="left" vertical="top" wrapText="1"/>
    </xf>
    <xf numFmtId="0" fontId="21" fillId="0" borderId="24" xfId="3" applyFont="1" applyBorder="1" applyAlignment="1">
      <alignment horizontal="left" vertical="top" wrapText="1"/>
    </xf>
    <xf numFmtId="0" fontId="21" fillId="0" borderId="25" xfId="3" applyFont="1" applyBorder="1" applyAlignment="1">
      <alignment horizontal="left" vertical="top" wrapText="1"/>
    </xf>
    <xf numFmtId="0" fontId="21" fillId="0" borderId="29" xfId="3" applyFont="1" applyBorder="1" applyAlignment="1">
      <alignment horizontal="left" vertical="top" wrapText="1"/>
    </xf>
    <xf numFmtId="9" fontId="21" fillId="0" borderId="34" xfId="4" applyNumberFormat="1" applyFont="1" applyBorder="1" applyAlignment="1">
      <alignment horizontal="left" vertical="top" wrapText="1"/>
    </xf>
    <xf numFmtId="9" fontId="21" fillId="0" borderId="33" xfId="4" applyNumberFormat="1" applyFont="1" applyBorder="1" applyAlignment="1">
      <alignment horizontal="left" vertical="top" wrapText="1"/>
    </xf>
    <xf numFmtId="0" fontId="20" fillId="0" borderId="21" xfId="3" applyBorder="1" applyAlignment="1">
      <alignment horizontal="center"/>
    </xf>
    <xf numFmtId="0" fontId="20" fillId="0" borderId="0" xfId="3" applyBorder="1" applyAlignment="1">
      <alignment horizontal="center"/>
    </xf>
    <xf numFmtId="0" fontId="25" fillId="0" borderId="24" xfId="3" applyFont="1" applyBorder="1" applyAlignment="1">
      <alignment horizontal="center"/>
    </xf>
    <xf numFmtId="0" fontId="25" fillId="0" borderId="29" xfId="3" applyFont="1" applyBorder="1" applyAlignment="1">
      <alignment horizontal="center"/>
    </xf>
    <xf numFmtId="0" fontId="21" fillId="0" borderId="21" xfId="3" applyFont="1" applyBorder="1" applyAlignment="1">
      <alignment horizontal="center" wrapText="1"/>
    </xf>
    <xf numFmtId="0" fontId="21" fillId="0" borderId="0" xfId="3" applyFont="1" applyBorder="1" applyAlignment="1">
      <alignment horizontal="center" wrapText="1"/>
    </xf>
    <xf numFmtId="14" fontId="3" fillId="0" borderId="24" xfId="3" applyNumberFormat="1" applyFont="1" applyBorder="1" applyAlignment="1">
      <alignment horizontal="center" wrapText="1"/>
    </xf>
    <xf numFmtId="14" fontId="3" fillId="0" borderId="25" xfId="3" applyNumberFormat="1" applyFont="1" applyBorder="1" applyAlignment="1">
      <alignment horizontal="center" wrapText="1"/>
    </xf>
    <xf numFmtId="14" fontId="3" fillId="0" borderId="29" xfId="3" applyNumberFormat="1" applyFont="1" applyBorder="1" applyAlignment="1">
      <alignment horizontal="center" wrapText="1"/>
    </xf>
    <xf numFmtId="0" fontId="21" fillId="0" borderId="27" xfId="3" applyFont="1" applyBorder="1" applyAlignment="1">
      <alignment horizontal="left" wrapText="1"/>
    </xf>
    <xf numFmtId="0" fontId="21" fillId="0" borderId="28" xfId="3" applyFont="1" applyBorder="1" applyAlignment="1">
      <alignment horizontal="left" wrapText="1"/>
    </xf>
    <xf numFmtId="14" fontId="22" fillId="9" borderId="25" xfId="3" applyNumberFormat="1" applyFont="1" applyFill="1" applyBorder="1" applyAlignment="1">
      <alignment horizontal="center" wrapText="1"/>
    </xf>
    <xf numFmtId="0" fontId="22" fillId="9" borderId="25" xfId="3" applyFont="1" applyFill="1" applyBorder="1" applyAlignment="1">
      <alignment horizontal="center" wrapText="1"/>
    </xf>
    <xf numFmtId="0" fontId="20" fillId="16" borderId="5" xfId="3" applyFont="1" applyFill="1" applyBorder="1" applyAlignment="1" applyProtection="1">
      <alignment horizontal="center" vertical="center" wrapText="1"/>
      <protection locked="0"/>
    </xf>
    <xf numFmtId="0" fontId="20" fillId="16" borderId="6" xfId="3" applyFont="1" applyFill="1" applyBorder="1" applyAlignment="1" applyProtection="1">
      <alignment horizontal="center" vertical="center" wrapText="1"/>
      <protection locked="0"/>
    </xf>
    <xf numFmtId="0" fontId="20" fillId="16" borderId="3" xfId="3" applyFont="1" applyFill="1" applyBorder="1" applyAlignment="1" applyProtection="1">
      <alignment horizontal="center" vertical="center" wrapText="1"/>
      <protection locked="0"/>
    </xf>
    <xf numFmtId="0" fontId="20" fillId="16" borderId="9" xfId="3" applyFont="1" applyFill="1" applyBorder="1" applyAlignment="1" applyProtection="1">
      <alignment horizontal="center" vertical="center" wrapText="1"/>
      <protection locked="0"/>
    </xf>
    <xf numFmtId="0" fontId="32" fillId="0" borderId="34" xfId="3" applyFont="1" applyBorder="1" applyAlignment="1">
      <alignment horizontal="center" wrapText="1"/>
    </xf>
    <xf numFmtId="0" fontId="32" fillId="0" borderId="35" xfId="3" applyFont="1" applyBorder="1" applyAlignment="1">
      <alignment horizontal="center" wrapText="1"/>
    </xf>
    <xf numFmtId="0" fontId="32" fillId="0" borderId="33" xfId="3" applyFont="1" applyBorder="1" applyAlignment="1">
      <alignment horizontal="center" wrapText="1"/>
    </xf>
    <xf numFmtId="0" fontId="20" fillId="0" borderId="25" xfId="3" applyFont="1" applyBorder="1" applyAlignment="1">
      <alignment horizontal="center"/>
    </xf>
    <xf numFmtId="0" fontId="3" fillId="0" borderId="24" xfId="3" applyFont="1" applyBorder="1" applyAlignment="1">
      <alignment horizontal="center" wrapText="1"/>
    </xf>
    <xf numFmtId="0" fontId="3" fillId="0" borderId="29" xfId="3" applyFont="1" applyBorder="1" applyAlignment="1">
      <alignment horizontal="center" wrapText="1"/>
    </xf>
    <xf numFmtId="0" fontId="3" fillId="0" borderId="25" xfId="3" applyFont="1" applyBorder="1" applyAlignment="1">
      <alignment horizontal="center" wrapText="1"/>
    </xf>
    <xf numFmtId="0" fontId="20" fillId="16" borderId="11" xfId="3" applyFont="1" applyFill="1" applyBorder="1" applyAlignment="1" applyProtection="1">
      <alignment horizontal="center" vertical="center" wrapText="1"/>
      <protection locked="0"/>
    </xf>
    <xf numFmtId="0" fontId="20" fillId="16" borderId="12" xfId="3" applyFont="1" applyFill="1" applyBorder="1" applyAlignment="1" applyProtection="1">
      <alignment horizontal="center" vertical="center" wrapText="1"/>
      <protection locked="0"/>
    </xf>
    <xf numFmtId="0" fontId="21" fillId="10" borderId="27" xfId="3" applyFont="1" applyFill="1" applyBorder="1" applyAlignment="1">
      <alignment horizontal="center" vertical="top" wrapText="1"/>
    </xf>
    <xf numFmtId="0" fontId="21" fillId="10" borderId="0" xfId="3" applyFont="1" applyFill="1" applyBorder="1" applyAlignment="1">
      <alignment horizontal="center" vertical="top" wrapText="1"/>
    </xf>
    <xf numFmtId="9" fontId="25" fillId="0" borderId="25" xfId="3" applyNumberFormat="1" applyFont="1" applyFill="1" applyBorder="1" applyAlignment="1" applyProtection="1">
      <alignment horizontal="center" vertical="center" wrapText="1"/>
    </xf>
    <xf numFmtId="0" fontId="23" fillId="9" borderId="16" xfId="3" applyFont="1" applyFill="1" applyBorder="1" applyAlignment="1">
      <alignment horizontal="center"/>
    </xf>
    <xf numFmtId="0" fontId="23" fillId="9" borderId="23" xfId="3" applyFont="1" applyFill="1" applyBorder="1" applyAlignment="1">
      <alignment horizontal="center"/>
    </xf>
    <xf numFmtId="0" fontId="23" fillId="9" borderId="30" xfId="3" applyFont="1" applyFill="1" applyBorder="1" applyAlignment="1">
      <alignment horizontal="center"/>
    </xf>
    <xf numFmtId="0" fontId="21" fillId="0" borderId="0" xfId="3" applyFont="1" applyAlignment="1">
      <alignment horizontal="left"/>
    </xf>
    <xf numFmtId="0" fontId="21" fillId="0" borderId="26" xfId="3" applyFont="1" applyBorder="1" applyAlignment="1">
      <alignment horizontal="left" wrapText="1"/>
    </xf>
    <xf numFmtId="0" fontId="3" fillId="0" borderId="29" xfId="3" applyFont="1" applyBorder="1" applyAlignment="1" applyProtection="1">
      <alignment horizontal="center" wrapText="1"/>
      <protection locked="0"/>
    </xf>
    <xf numFmtId="14" fontId="22" fillId="9" borderId="25" xfId="3" applyNumberFormat="1" applyFont="1" applyFill="1" applyBorder="1" applyAlignment="1" applyProtection="1">
      <alignment horizontal="center" wrapText="1"/>
      <protection locked="0"/>
    </xf>
    <xf numFmtId="0" fontId="22" fillId="9" borderId="25" xfId="3" applyFont="1" applyFill="1" applyBorder="1" applyAlignment="1" applyProtection="1">
      <alignment horizontal="center" wrapText="1"/>
      <protection locked="0"/>
    </xf>
    <xf numFmtId="0" fontId="22" fillId="9" borderId="29" xfId="3" applyFont="1" applyFill="1" applyBorder="1" applyAlignment="1" applyProtection="1">
      <alignment horizontal="center" wrapText="1"/>
      <protection locked="0"/>
    </xf>
    <xf numFmtId="0" fontId="21" fillId="0" borderId="21" xfId="3" applyFont="1" applyBorder="1" applyAlignment="1" applyProtection="1">
      <alignment horizontal="center" wrapText="1"/>
      <protection locked="0"/>
    </xf>
    <xf numFmtId="0" fontId="21" fillId="0" borderId="0" xfId="3" applyFont="1" applyBorder="1" applyAlignment="1" applyProtection="1">
      <alignment horizontal="center" wrapText="1"/>
      <protection locked="0"/>
    </xf>
    <xf numFmtId="0" fontId="21" fillId="0" borderId="26" xfId="3" applyFont="1" applyBorder="1" applyAlignment="1" applyProtection="1">
      <alignment horizontal="left" wrapText="1"/>
      <protection locked="0"/>
    </xf>
    <xf numFmtId="0" fontId="21" fillId="0" borderId="27" xfId="3" applyFont="1" applyBorder="1" applyAlignment="1" applyProtection="1">
      <alignment horizontal="left" wrapText="1"/>
      <protection locked="0"/>
    </xf>
    <xf numFmtId="0" fontId="21" fillId="0" borderId="28" xfId="3" applyFont="1" applyBorder="1" applyAlignment="1" applyProtection="1">
      <alignment horizontal="left" wrapText="1"/>
      <protection locked="0"/>
    </xf>
    <xf numFmtId="0" fontId="21" fillId="16" borderId="21" xfId="3" applyFont="1" applyFill="1" applyBorder="1" applyAlignment="1" applyProtection="1">
      <alignment horizontal="center" wrapText="1"/>
      <protection locked="0"/>
    </xf>
    <xf numFmtId="0" fontId="21" fillId="16" borderId="22" xfId="3" applyFont="1" applyFill="1" applyBorder="1" applyAlignment="1" applyProtection="1">
      <alignment horizontal="center" wrapText="1"/>
      <protection locked="0"/>
    </xf>
    <xf numFmtId="9" fontId="21" fillId="0" borderId="34" xfId="4" applyNumberFormat="1" applyFont="1" applyBorder="1" applyAlignment="1">
      <alignment horizontal="left" vertical="center"/>
    </xf>
    <xf numFmtId="9" fontId="21" fillId="0" borderId="35" xfId="4" applyNumberFormat="1" applyFont="1" applyBorder="1" applyAlignment="1">
      <alignment horizontal="left" vertical="center"/>
    </xf>
    <xf numFmtId="9" fontId="21" fillId="0" borderId="33" xfId="4" applyNumberFormat="1" applyFont="1" applyBorder="1" applyAlignment="1">
      <alignment horizontal="left" vertical="center"/>
    </xf>
    <xf numFmtId="0" fontId="29" fillId="0" borderId="0" xfId="3" applyFont="1" applyFill="1" applyBorder="1" applyAlignment="1">
      <alignment horizontal="left" vertical="top" wrapText="1"/>
    </xf>
    <xf numFmtId="0" fontId="21" fillId="0" borderId="13" xfId="3" applyFont="1" applyBorder="1" applyAlignment="1">
      <alignment horizontal="center" wrapText="1"/>
    </xf>
    <xf numFmtId="0" fontId="21" fillId="0" borderId="15" xfId="3" applyFont="1" applyBorder="1" applyAlignment="1">
      <alignment horizontal="center" wrapText="1"/>
    </xf>
    <xf numFmtId="0" fontId="21" fillId="0" borderId="29" xfId="3" applyFont="1" applyBorder="1" applyAlignment="1">
      <alignment horizontal="center" wrapText="1"/>
    </xf>
    <xf numFmtId="0" fontId="32" fillId="0" borderId="34" xfId="3" applyFont="1" applyBorder="1" applyAlignment="1" applyProtection="1">
      <alignment horizontal="center" wrapText="1"/>
      <protection locked="0"/>
    </xf>
    <xf numFmtId="0" fontId="32" fillId="0" borderId="35" xfId="3" applyFont="1" applyBorder="1" applyAlignment="1" applyProtection="1">
      <alignment horizontal="center" wrapText="1"/>
      <protection locked="0"/>
    </xf>
    <xf numFmtId="0" fontId="32" fillId="0" borderId="33" xfId="3" applyFont="1" applyBorder="1" applyAlignment="1" applyProtection="1">
      <alignment horizontal="center" wrapText="1"/>
      <protection locked="0"/>
    </xf>
    <xf numFmtId="0" fontId="25" fillId="0" borderId="0" xfId="3" applyFont="1" applyAlignment="1">
      <alignment horizontal="right"/>
    </xf>
    <xf numFmtId="0" fontId="21" fillId="0" borderId="24" xfId="3" applyFont="1" applyBorder="1" applyAlignment="1">
      <alignment horizontal="center" wrapText="1"/>
    </xf>
    <xf numFmtId="0" fontId="20" fillId="0" borderId="21" xfId="3" applyBorder="1" applyAlignment="1" applyProtection="1">
      <alignment horizontal="center"/>
      <protection locked="0"/>
    </xf>
    <xf numFmtId="0" fontId="20" fillId="0" borderId="0" xfId="3" applyBorder="1" applyAlignment="1" applyProtection="1">
      <alignment horizontal="center"/>
      <protection locked="0"/>
    </xf>
    <xf numFmtId="0" fontId="21" fillId="0" borderId="17" xfId="3" applyFont="1" applyBorder="1" applyAlignment="1" applyProtection="1">
      <alignment horizontal="left"/>
      <protection locked="0"/>
    </xf>
    <xf numFmtId="0" fontId="21" fillId="0" borderId="18" xfId="3" applyFont="1" applyBorder="1" applyAlignment="1" applyProtection="1">
      <alignment horizontal="left"/>
      <protection locked="0"/>
    </xf>
    <xf numFmtId="0" fontId="21" fillId="0" borderId="19" xfId="3" applyFont="1" applyBorder="1" applyAlignment="1" applyProtection="1">
      <alignment horizontal="left"/>
      <protection locked="0"/>
    </xf>
    <xf numFmtId="0" fontId="21" fillId="0" borderId="22" xfId="3" applyFont="1" applyBorder="1" applyAlignment="1" applyProtection="1">
      <alignment horizontal="center" wrapText="1"/>
      <protection locked="0"/>
    </xf>
    <xf numFmtId="0" fontId="21" fillId="0" borderId="34" xfId="3" applyFont="1" applyBorder="1" applyAlignment="1" applyProtection="1">
      <alignment horizontal="left" wrapText="1"/>
      <protection locked="0"/>
    </xf>
    <xf numFmtId="0" fontId="21" fillId="0" borderId="35" xfId="3" applyFont="1" applyBorder="1" applyAlignment="1" applyProtection="1">
      <alignment horizontal="left" wrapText="1"/>
      <protection locked="0"/>
    </xf>
    <xf numFmtId="0" fontId="21" fillId="0" borderId="33" xfId="3" applyFont="1" applyBorder="1" applyAlignment="1" applyProtection="1">
      <alignment horizontal="left" wrapText="1"/>
      <protection locked="0"/>
    </xf>
    <xf numFmtId="0" fontId="22" fillId="9" borderId="29" xfId="3" applyFont="1" applyFill="1" applyBorder="1" applyAlignment="1">
      <alignment horizontal="center" wrapText="1"/>
    </xf>
    <xf numFmtId="9" fontId="21" fillId="0" borderId="34" xfId="4" applyNumberFormat="1" applyFont="1" applyBorder="1" applyAlignment="1" applyProtection="1">
      <alignment horizontal="left"/>
      <protection locked="0"/>
    </xf>
    <xf numFmtId="9" fontId="21" fillId="0" borderId="35" xfId="4" applyNumberFormat="1" applyFont="1" applyBorder="1" applyAlignment="1" applyProtection="1">
      <alignment horizontal="left"/>
      <protection locked="0"/>
    </xf>
    <xf numFmtId="9" fontId="21" fillId="0" borderId="33" xfId="4" applyNumberFormat="1" applyFont="1" applyBorder="1" applyAlignment="1" applyProtection="1">
      <alignment horizontal="left"/>
      <protection locked="0"/>
    </xf>
    <xf numFmtId="0" fontId="21" fillId="0" borderId="21" xfId="3" applyFont="1" applyBorder="1" applyAlignment="1" applyProtection="1">
      <alignment horizontal="center" wrapText="1"/>
    </xf>
    <xf numFmtId="0" fontId="21" fillId="0" borderId="22" xfId="3" applyFont="1" applyBorder="1" applyAlignment="1" applyProtection="1">
      <alignment horizontal="center" wrapText="1"/>
    </xf>
    <xf numFmtId="0" fontId="24" fillId="0" borderId="0" xfId="3" applyFont="1" applyAlignment="1" applyProtection="1">
      <alignment horizontal="center" wrapText="1"/>
    </xf>
    <xf numFmtId="0" fontId="25" fillId="0" borderId="0" xfId="3" applyFont="1" applyAlignment="1" applyProtection="1">
      <alignment horizontal="right"/>
    </xf>
    <xf numFmtId="0" fontId="25" fillId="0" borderId="37" xfId="3" applyFont="1" applyBorder="1" applyAlignment="1" applyProtection="1">
      <alignment horizontal="left" vertical="center" wrapText="1"/>
    </xf>
    <xf numFmtId="0" fontId="25" fillId="0" borderId="25" xfId="3" applyFont="1" applyBorder="1" applyAlignment="1" applyProtection="1">
      <alignment horizontal="left" vertical="center" wrapText="1"/>
    </xf>
    <xf numFmtId="0" fontId="0" fillId="0" borderId="0" xfId="0" applyAlignment="1"/>
    <xf numFmtId="0" fontId="23" fillId="9" borderId="30" xfId="3" applyFont="1" applyFill="1" applyBorder="1" applyAlignment="1" applyProtection="1">
      <alignment horizontal="center"/>
    </xf>
    <xf numFmtId="0" fontId="22" fillId="0" borderId="13" xfId="3" applyFont="1" applyBorder="1" applyAlignment="1" applyProtection="1">
      <alignment horizontal="center" vertical="center" wrapText="1"/>
    </xf>
    <xf numFmtId="0" fontId="22" fillId="0" borderId="15" xfId="3" applyFont="1" applyBorder="1" applyAlignment="1" applyProtection="1">
      <alignment horizontal="center" vertical="center" wrapText="1"/>
    </xf>
    <xf numFmtId="0" fontId="25" fillId="0" borderId="3" xfId="3" applyFont="1" applyBorder="1" applyAlignment="1" applyProtection="1">
      <alignment horizontal="center"/>
    </xf>
    <xf numFmtId="0" fontId="25" fillId="16" borderId="16" xfId="3" applyFont="1" applyFill="1" applyBorder="1" applyAlignment="1" applyProtection="1">
      <alignment horizontal="center"/>
      <protection locked="0"/>
    </xf>
    <xf numFmtId="0" fontId="25" fillId="16" borderId="23" xfId="3" applyFont="1" applyFill="1" applyBorder="1" applyAlignment="1" applyProtection="1">
      <alignment horizontal="center"/>
      <protection locked="0"/>
    </xf>
    <xf numFmtId="0" fontId="25" fillId="16" borderId="30" xfId="3" applyFont="1" applyFill="1" applyBorder="1" applyAlignment="1" applyProtection="1">
      <alignment horizontal="center"/>
      <protection locked="0"/>
    </xf>
    <xf numFmtId="14" fontId="25" fillId="0" borderId="3" xfId="3" applyNumberFormat="1" applyFont="1" applyBorder="1" applyAlignment="1" applyProtection="1">
      <alignment horizontal="center"/>
    </xf>
    <xf numFmtId="0" fontId="26" fillId="16" borderId="16" xfId="3" applyFont="1" applyFill="1" applyBorder="1" applyAlignment="1" applyProtection="1">
      <alignment horizontal="center" vertical="center"/>
      <protection locked="0"/>
    </xf>
    <xf numFmtId="0" fontId="26" fillId="16" borderId="23" xfId="3" applyFont="1" applyFill="1" applyBorder="1" applyAlignment="1" applyProtection="1">
      <alignment horizontal="center" vertical="center"/>
      <protection locked="0"/>
    </xf>
    <xf numFmtId="0" fontId="26" fillId="16" borderId="30" xfId="3" applyFont="1" applyFill="1" applyBorder="1" applyAlignment="1" applyProtection="1">
      <alignment horizontal="center" vertical="center"/>
      <protection locked="0"/>
    </xf>
    <xf numFmtId="0" fontId="25" fillId="0" borderId="16" xfId="3" applyFont="1" applyBorder="1" applyAlignment="1" applyProtection="1">
      <alignment horizontal="center"/>
    </xf>
    <xf numFmtId="0" fontId="25" fillId="0" borderId="23" xfId="3" applyFont="1" applyBorder="1" applyAlignment="1" applyProtection="1">
      <alignment horizontal="center"/>
    </xf>
    <xf numFmtId="0" fontId="25" fillId="0" borderId="30" xfId="3" applyFont="1" applyBorder="1" applyAlignment="1" applyProtection="1">
      <alignment horizontal="center"/>
    </xf>
    <xf numFmtId="0" fontId="22" fillId="0" borderId="0" xfId="3" applyFont="1" applyAlignment="1" applyProtection="1">
      <alignment horizontal="right"/>
    </xf>
    <xf numFmtId="0" fontId="22" fillId="0" borderId="26" xfId="3" applyFont="1" applyBorder="1" applyAlignment="1" applyProtection="1">
      <alignment horizontal="center" wrapText="1"/>
    </xf>
    <xf numFmtId="0" fontId="22" fillId="0" borderId="24" xfId="3" applyFont="1" applyBorder="1" applyAlignment="1" applyProtection="1">
      <alignment horizontal="center" wrapText="1"/>
    </xf>
    <xf numFmtId="0" fontId="29" fillId="0" borderId="0" xfId="3" applyFont="1" applyFill="1" applyBorder="1" applyAlignment="1" applyProtection="1">
      <alignment vertical="top" wrapText="1"/>
    </xf>
    <xf numFmtId="0" fontId="52" fillId="0" borderId="0" xfId="0" applyFont="1" applyAlignment="1">
      <alignment vertical="top" wrapText="1"/>
    </xf>
    <xf numFmtId="0" fontId="20" fillId="0" borderId="0" xfId="3" applyFont="1" applyFill="1" applyBorder="1" applyAlignment="1" applyProtection="1">
      <alignment vertical="top" wrapText="1"/>
    </xf>
    <xf numFmtId="0" fontId="20" fillId="0" borderId="0" xfId="0" applyFont="1" applyAlignment="1">
      <alignment vertical="top" wrapText="1"/>
    </xf>
    <xf numFmtId="0" fontId="0" fillId="0" borderId="0" xfId="0" applyAlignment="1">
      <alignment vertical="top" wrapText="1"/>
    </xf>
    <xf numFmtId="0" fontId="22" fillId="0" borderId="0" xfId="3" applyFont="1" applyAlignment="1">
      <alignment horizontal="center" wrapText="1"/>
    </xf>
    <xf numFmtId="0" fontId="24" fillId="0" borderId="0" xfId="3" applyFont="1" applyAlignment="1">
      <alignment horizontal="center"/>
    </xf>
    <xf numFmtId="0" fontId="25" fillId="0" borderId="4" xfId="3" applyFont="1" applyBorder="1" applyAlignment="1">
      <alignment horizontal="center" wrapText="1"/>
    </xf>
    <xf numFmtId="0" fontId="25" fillId="0" borderId="5" xfId="3" applyFont="1" applyBorder="1" applyAlignment="1">
      <alignment horizontal="center" wrapText="1"/>
    </xf>
    <xf numFmtId="0" fontId="25" fillId="0" borderId="6" xfId="3" applyFont="1" applyBorder="1" applyAlignment="1">
      <alignment horizontal="center" wrapText="1"/>
    </xf>
    <xf numFmtId="0" fontId="32" fillId="16" borderId="8" xfId="3" applyFont="1" applyFill="1" applyBorder="1" applyAlignment="1" applyProtection="1">
      <alignment horizontal="center" wrapText="1"/>
      <protection locked="0"/>
    </xf>
    <xf numFmtId="0" fontId="32" fillId="16" borderId="3" xfId="3" applyFont="1" applyFill="1" applyBorder="1" applyAlignment="1" applyProtection="1">
      <alignment horizontal="center" wrapText="1"/>
      <protection locked="0"/>
    </xf>
    <xf numFmtId="0" fontId="32" fillId="16" borderId="9" xfId="3" applyFont="1" applyFill="1" applyBorder="1" applyAlignment="1" applyProtection="1">
      <alignment horizontal="center" wrapText="1"/>
      <protection locked="0"/>
    </xf>
    <xf numFmtId="0" fontId="25" fillId="0" borderId="8" xfId="3" applyFont="1" applyBorder="1" applyAlignment="1">
      <alignment horizontal="center" wrapText="1"/>
    </xf>
    <xf numFmtId="0" fontId="25" fillId="0" borderId="3" xfId="3" applyFont="1" applyBorder="1" applyAlignment="1">
      <alignment horizontal="center" wrapText="1"/>
    </xf>
    <xf numFmtId="0" fontId="25" fillId="0" borderId="9" xfId="3" applyFont="1" applyBorder="1" applyAlignment="1">
      <alignment horizontal="center" wrapText="1"/>
    </xf>
    <xf numFmtId="0" fontId="25" fillId="0" borderId="51" xfId="3" applyFont="1" applyBorder="1" applyAlignment="1">
      <alignment horizontal="center"/>
    </xf>
    <xf numFmtId="0" fontId="25" fillId="0" borderId="23" xfId="3" applyFont="1" applyBorder="1" applyAlignment="1">
      <alignment horizontal="center"/>
    </xf>
    <xf numFmtId="0" fontId="25" fillId="0" borderId="32" xfId="3" applyFont="1" applyBorder="1" applyAlignment="1">
      <alignment horizontal="center"/>
    </xf>
    <xf numFmtId="0" fontId="20" fillId="0" borderId="51" xfId="3" applyFont="1" applyBorder="1" applyAlignment="1">
      <alignment horizontal="center"/>
    </xf>
    <xf numFmtId="0" fontId="20" fillId="0" borderId="23" xfId="3" applyFont="1" applyBorder="1" applyAlignment="1">
      <alignment horizontal="center"/>
    </xf>
    <xf numFmtId="0" fontId="20" fillId="0" borderId="32" xfId="3" applyFont="1" applyBorder="1" applyAlignment="1">
      <alignment horizontal="center"/>
    </xf>
    <xf numFmtId="14" fontId="25" fillId="0" borderId="8" xfId="3" applyNumberFormat="1" applyFont="1" applyBorder="1" applyAlignment="1">
      <alignment horizontal="center" wrapText="1"/>
    </xf>
    <xf numFmtId="0" fontId="32" fillId="16" borderId="10" xfId="3" applyFont="1" applyFill="1" applyBorder="1" applyAlignment="1" applyProtection="1">
      <alignment horizontal="center" wrapText="1"/>
      <protection locked="0"/>
    </xf>
    <xf numFmtId="0" fontId="32" fillId="16" borderId="11" xfId="3" applyFont="1" applyFill="1" applyBorder="1" applyAlignment="1" applyProtection="1">
      <alignment horizontal="center" wrapText="1"/>
      <protection locked="0"/>
    </xf>
    <xf numFmtId="0" fontId="32" fillId="16" borderId="12" xfId="3" applyFont="1" applyFill="1" applyBorder="1" applyAlignment="1" applyProtection="1">
      <alignment horizontal="center" wrapText="1"/>
      <protection locked="0"/>
    </xf>
    <xf numFmtId="0" fontId="20" fillId="0" borderId="0" xfId="3" applyAlignment="1">
      <alignment horizontal="center"/>
    </xf>
    <xf numFmtId="42" fontId="21" fillId="16" borderId="25" xfId="3" applyNumberFormat="1" applyFont="1" applyFill="1" applyBorder="1" applyAlignment="1" applyProtection="1">
      <alignment horizontal="center" wrapText="1"/>
      <protection locked="0"/>
    </xf>
    <xf numFmtId="14" fontId="25" fillId="0" borderId="8" xfId="3" applyNumberFormat="1" applyFont="1" applyBorder="1" applyAlignment="1" applyProtection="1">
      <alignment horizontal="center" wrapText="1"/>
    </xf>
    <xf numFmtId="0" fontId="25" fillId="0" borderId="3" xfId="3" applyFont="1" applyBorder="1" applyAlignment="1" applyProtection="1">
      <alignment horizontal="center" wrapText="1"/>
    </xf>
    <xf numFmtId="0" fontId="25" fillId="0" borderId="9" xfId="3" applyFont="1" applyBorder="1" applyAlignment="1" applyProtection="1">
      <alignment horizontal="center" wrapText="1"/>
    </xf>
    <xf numFmtId="0" fontId="25" fillId="0" borderId="4" xfId="3" applyFont="1" applyBorder="1" applyAlignment="1" applyProtection="1">
      <alignment horizontal="center" wrapText="1"/>
    </xf>
    <xf numFmtId="0" fontId="25" fillId="0" borderId="5" xfId="3" applyFont="1" applyBorder="1" applyAlignment="1" applyProtection="1">
      <alignment horizontal="center" wrapText="1"/>
    </xf>
    <xf numFmtId="0" fontId="25" fillId="0" borderId="6" xfId="3" applyFont="1" applyBorder="1" applyAlignment="1" applyProtection="1">
      <alignment horizontal="center" wrapText="1"/>
    </xf>
    <xf numFmtId="0" fontId="25" fillId="0" borderId="51" xfId="3" applyFont="1" applyBorder="1" applyAlignment="1" applyProtection="1">
      <alignment horizontal="center"/>
    </xf>
    <xf numFmtId="0" fontId="25" fillId="0" borderId="32" xfId="3" applyFont="1" applyBorder="1" applyAlignment="1" applyProtection="1">
      <alignment horizontal="center"/>
    </xf>
    <xf numFmtId="0" fontId="20" fillId="0" borderId="45" xfId="3" applyFont="1" applyBorder="1" applyAlignment="1" applyProtection="1">
      <alignment horizontal="center"/>
    </xf>
    <xf numFmtId="0" fontId="20" fillId="0" borderId="38" xfId="3" applyFont="1" applyBorder="1" applyAlignment="1" applyProtection="1">
      <alignment horizontal="center"/>
    </xf>
    <xf numFmtId="0" fontId="20" fillId="0" borderId="39" xfId="3" applyFont="1" applyBorder="1" applyAlignment="1" applyProtection="1">
      <alignment horizontal="center"/>
    </xf>
    <xf numFmtId="0" fontId="25" fillId="0" borderId="0" xfId="3" applyFont="1" applyBorder="1" applyAlignment="1" applyProtection="1">
      <alignment horizontal="center" vertical="center" wrapText="1"/>
    </xf>
    <xf numFmtId="0" fontId="25" fillId="0" borderId="0" xfId="3" applyFont="1" applyAlignment="1" applyProtection="1">
      <alignment horizontal="center" vertical="center" wrapText="1"/>
    </xf>
    <xf numFmtId="0" fontId="25" fillId="0" borderId="25" xfId="3" applyFont="1" applyBorder="1" applyAlignment="1" applyProtection="1">
      <alignment horizontal="center" vertical="center" wrapText="1"/>
    </xf>
    <xf numFmtId="0" fontId="22" fillId="0" borderId="14" xfId="3" applyFont="1" applyBorder="1" applyAlignment="1" applyProtection="1">
      <alignment horizontal="center" wrapText="1"/>
    </xf>
    <xf numFmtId="0" fontId="28" fillId="0" borderId="26" xfId="3" applyFont="1" applyBorder="1" applyAlignment="1" applyProtection="1">
      <alignment horizontal="left" vertical="center" wrapText="1"/>
    </xf>
    <xf numFmtId="0" fontId="28" fillId="0" borderId="27" xfId="3" applyFont="1" applyBorder="1" applyAlignment="1" applyProtection="1">
      <alignment horizontal="left" vertical="center" wrapText="1"/>
    </xf>
    <xf numFmtId="0" fontId="28" fillId="0" borderId="28" xfId="3" applyFont="1" applyBorder="1" applyAlignment="1" applyProtection="1">
      <alignment horizontal="left" vertical="center" wrapText="1"/>
    </xf>
    <xf numFmtId="0" fontId="28" fillId="0" borderId="21" xfId="3" applyFont="1" applyBorder="1" applyAlignment="1" applyProtection="1">
      <alignment horizontal="left" vertical="center" wrapText="1"/>
    </xf>
    <xf numFmtId="0" fontId="28" fillId="0" borderId="0" xfId="3" applyFont="1" applyBorder="1" applyAlignment="1" applyProtection="1">
      <alignment horizontal="left" vertical="center" wrapText="1"/>
    </xf>
    <xf numFmtId="0" fontId="28" fillId="0" borderId="22" xfId="3" applyFont="1" applyBorder="1" applyAlignment="1" applyProtection="1">
      <alignment horizontal="left" vertical="center" wrapText="1"/>
    </xf>
    <xf numFmtId="0" fontId="28" fillId="0" borderId="24" xfId="3" applyFont="1" applyBorder="1" applyAlignment="1" applyProtection="1">
      <alignment horizontal="left" vertical="center" wrapText="1"/>
    </xf>
    <xf numFmtId="0" fontId="28" fillId="0" borderId="25" xfId="3" applyFont="1" applyBorder="1" applyAlignment="1" applyProtection="1">
      <alignment horizontal="left" vertical="center" wrapText="1"/>
    </xf>
    <xf numFmtId="0" fontId="28" fillId="0" borderId="29" xfId="3" applyFont="1" applyBorder="1" applyAlignment="1" applyProtection="1">
      <alignment horizontal="left" vertical="center" wrapText="1"/>
    </xf>
    <xf numFmtId="0" fontId="21" fillId="0" borderId="26" xfId="3" applyFont="1" applyBorder="1" applyAlignment="1" applyProtection="1">
      <alignment horizontal="center" vertical="center" wrapText="1"/>
    </xf>
    <xf numFmtId="0" fontId="21" fillId="0" borderId="28" xfId="3" applyFont="1" applyBorder="1" applyAlignment="1" applyProtection="1">
      <alignment horizontal="center" vertical="center" wrapText="1"/>
    </xf>
    <xf numFmtId="0" fontId="21" fillId="16" borderId="21" xfId="3" applyFont="1" applyFill="1" applyBorder="1" applyAlignment="1" applyProtection="1">
      <alignment horizontal="center" vertical="center" wrapText="1"/>
      <protection locked="0"/>
    </xf>
    <xf numFmtId="0" fontId="21" fillId="16" borderId="22" xfId="3" applyFont="1" applyFill="1" applyBorder="1" applyAlignment="1" applyProtection="1">
      <alignment horizontal="center" vertical="center" wrapText="1"/>
      <protection locked="0"/>
    </xf>
    <xf numFmtId="0" fontId="21" fillId="16" borderId="24" xfId="3" applyFont="1" applyFill="1" applyBorder="1" applyAlignment="1" applyProtection="1">
      <alignment horizontal="center" vertical="center" wrapText="1"/>
      <protection locked="0"/>
    </xf>
    <xf numFmtId="0" fontId="21" fillId="16" borderId="29" xfId="3" applyFont="1" applyFill="1" applyBorder="1" applyAlignment="1" applyProtection="1">
      <alignment horizontal="center" vertical="center" wrapText="1"/>
      <protection locked="0"/>
    </xf>
    <xf numFmtId="44" fontId="21" fillId="16" borderId="25" xfId="5" applyFont="1" applyFill="1" applyBorder="1" applyAlignment="1" applyProtection="1">
      <alignment horizontal="center" wrapText="1"/>
      <protection locked="0"/>
    </xf>
    <xf numFmtId="0" fontId="25" fillId="0" borderId="21" xfId="3" applyFont="1" applyBorder="1" applyAlignment="1" applyProtection="1">
      <alignment horizontal="center"/>
    </xf>
    <xf numFmtId="0" fontId="21" fillId="0" borderId="27" xfId="3" applyFont="1" applyBorder="1" applyAlignment="1" applyProtection="1">
      <alignment horizontal="center" vertical="center" wrapText="1"/>
    </xf>
    <xf numFmtId="0" fontId="20" fillId="0" borderId="24" xfId="3" applyBorder="1" applyAlignment="1" applyProtection="1">
      <alignment horizontal="center" vertical="center"/>
    </xf>
    <xf numFmtId="0" fontId="20" fillId="0" borderId="29" xfId="3" applyBorder="1" applyAlignment="1" applyProtection="1">
      <alignment horizontal="center" vertical="center"/>
    </xf>
    <xf numFmtId="0" fontId="22" fillId="9" borderId="16" xfId="3" applyFont="1" applyFill="1" applyBorder="1" applyAlignment="1" applyProtection="1">
      <alignment horizontal="center" vertical="center" wrapText="1"/>
    </xf>
    <xf numFmtId="0" fontId="22" fillId="9" borderId="23" xfId="3" applyFont="1" applyFill="1" applyBorder="1" applyAlignment="1" applyProtection="1">
      <alignment horizontal="center" vertical="center" wrapText="1"/>
    </xf>
    <xf numFmtId="0" fontId="23" fillId="0" borderId="0" xfId="3" applyFont="1" applyFill="1" applyBorder="1" applyAlignment="1" applyProtection="1">
      <alignment horizontal="center" vertical="center"/>
    </xf>
    <xf numFmtId="0" fontId="21" fillId="0" borderId="21" xfId="3" applyFont="1" applyBorder="1" applyAlignment="1" applyProtection="1">
      <alignment horizontal="center" vertical="center" wrapText="1"/>
    </xf>
    <xf numFmtId="0" fontId="21" fillId="0" borderId="0" xfId="3" applyFont="1" applyBorder="1" applyAlignment="1" applyProtection="1">
      <alignment horizontal="center" vertical="center" wrapText="1"/>
    </xf>
    <xf numFmtId="0" fontId="25" fillId="0" borderId="24" xfId="3" applyFont="1" applyBorder="1" applyAlignment="1" applyProtection="1">
      <alignment horizontal="center" vertical="center" wrapText="1"/>
    </xf>
    <xf numFmtId="0" fontId="25" fillId="0" borderId="29" xfId="3" applyFont="1" applyBorder="1" applyAlignment="1" applyProtection="1">
      <alignment horizontal="center" vertical="center" wrapText="1"/>
    </xf>
    <xf numFmtId="14" fontId="21" fillId="0" borderId="0" xfId="3" applyNumberFormat="1" applyFont="1" applyBorder="1" applyAlignment="1" applyProtection="1">
      <alignment horizontal="center" vertical="center" wrapText="1"/>
    </xf>
    <xf numFmtId="14" fontId="21" fillId="0" borderId="22" xfId="3" applyNumberFormat="1" applyFont="1" applyBorder="1" applyAlignment="1" applyProtection="1">
      <alignment horizontal="center" vertical="center" wrapText="1"/>
    </xf>
    <xf numFmtId="0" fontId="21" fillId="0" borderId="22" xfId="3" applyFont="1" applyBorder="1" applyAlignment="1" applyProtection="1">
      <alignment horizontal="center" vertical="center" wrapText="1"/>
    </xf>
    <xf numFmtId="0" fontId="21" fillId="0" borderId="1" xfId="3" applyFont="1" applyBorder="1" applyAlignment="1" applyProtection="1">
      <alignment horizontal="center" vertical="center" wrapText="1"/>
    </xf>
    <xf numFmtId="0" fontId="21" fillId="0" borderId="60" xfId="3" applyFont="1" applyBorder="1" applyAlignment="1" applyProtection="1">
      <alignment horizontal="center" vertical="center" wrapText="1"/>
    </xf>
    <xf numFmtId="0" fontId="31" fillId="0" borderId="24" xfId="3" applyFont="1" applyBorder="1" applyAlignment="1" applyProtection="1">
      <alignment horizontal="center" vertical="center" wrapText="1"/>
    </xf>
    <xf numFmtId="0" fontId="31" fillId="0" borderId="25" xfId="3" applyFont="1" applyBorder="1" applyAlignment="1" applyProtection="1">
      <alignment horizontal="center" vertical="center" wrapText="1"/>
    </xf>
    <xf numFmtId="14" fontId="21" fillId="0" borderId="25" xfId="3" applyNumberFormat="1" applyFont="1" applyBorder="1" applyAlignment="1">
      <alignment horizontal="center" wrapText="1"/>
    </xf>
    <xf numFmtId="0" fontId="21" fillId="0" borderId="25" xfId="3" applyFont="1" applyBorder="1" applyAlignment="1">
      <alignment horizontal="center" wrapText="1"/>
    </xf>
    <xf numFmtId="0" fontId="21" fillId="0" borderId="26" xfId="3" applyFont="1" applyBorder="1" applyAlignment="1">
      <alignment horizontal="center"/>
    </xf>
    <xf numFmtId="0" fontId="21" fillId="0" borderId="27" xfId="3" applyFont="1" applyBorder="1" applyAlignment="1">
      <alignment horizontal="center"/>
    </xf>
    <xf numFmtId="0" fontId="21" fillId="0" borderId="28" xfId="3" applyFont="1" applyBorder="1" applyAlignment="1">
      <alignment horizontal="center"/>
    </xf>
    <xf numFmtId="0" fontId="28" fillId="0" borderId="26" xfId="3" applyFont="1" applyBorder="1" applyAlignment="1">
      <alignment horizontal="center" vertical="center" wrapText="1"/>
    </xf>
    <xf numFmtId="0" fontId="28" fillId="0" borderId="27" xfId="3" applyFont="1" applyBorder="1" applyAlignment="1">
      <alignment horizontal="center" vertical="center" wrapText="1"/>
    </xf>
    <xf numFmtId="0" fontId="28" fillId="0" borderId="28" xfId="3" applyFont="1" applyBorder="1" applyAlignment="1">
      <alignment horizontal="center" vertical="center" wrapText="1"/>
    </xf>
    <xf numFmtId="0" fontId="32" fillId="0" borderId="24" xfId="3" applyFont="1" applyBorder="1" applyAlignment="1">
      <alignment horizontal="center" wrapText="1"/>
    </xf>
    <xf numFmtId="0" fontId="32" fillId="0" borderId="25" xfId="3" applyFont="1" applyBorder="1" applyAlignment="1">
      <alignment horizontal="center" wrapText="1"/>
    </xf>
    <xf numFmtId="0" fontId="32" fillId="0" borderId="29" xfId="3" applyFont="1" applyBorder="1" applyAlignment="1">
      <alignment horizontal="center" wrapText="1"/>
    </xf>
    <xf numFmtId="0" fontId="28" fillId="0" borderId="34" xfId="3" applyFont="1" applyBorder="1" applyAlignment="1">
      <alignment horizontal="center" vertical="center" wrapText="1"/>
    </xf>
    <xf numFmtId="0" fontId="28" fillId="0" borderId="35" xfId="3" applyFont="1" applyBorder="1" applyAlignment="1">
      <alignment horizontal="center" vertical="center" wrapText="1"/>
    </xf>
    <xf numFmtId="0" fontId="28" fillId="16" borderId="35" xfId="3" applyFont="1" applyFill="1" applyBorder="1" applyAlignment="1" applyProtection="1">
      <alignment horizontal="center" vertical="top" wrapText="1"/>
      <protection locked="0"/>
    </xf>
    <xf numFmtId="0" fontId="28" fillId="16" borderId="33" xfId="3" applyFont="1" applyFill="1" applyBorder="1" applyAlignment="1" applyProtection="1">
      <alignment horizontal="center" vertical="top" wrapText="1"/>
      <protection locked="0"/>
    </xf>
    <xf numFmtId="0" fontId="28" fillId="0" borderId="24" xfId="3" applyFont="1" applyBorder="1" applyAlignment="1">
      <alignment horizontal="center" vertical="center" wrapText="1"/>
    </xf>
    <xf numFmtId="0" fontId="28" fillId="0" borderId="25" xfId="3" applyFont="1" applyBorder="1" applyAlignment="1">
      <alignment horizontal="center" vertical="center" wrapText="1"/>
    </xf>
    <xf numFmtId="0" fontId="28" fillId="0" borderId="29" xfId="3" applyFont="1" applyBorder="1" applyAlignment="1">
      <alignment horizontal="center" vertical="center" wrapText="1"/>
    </xf>
    <xf numFmtId="0" fontId="20" fillId="0" borderId="0" xfId="3" applyFont="1" applyBorder="1" applyAlignment="1">
      <alignment horizontal="center" vertical="center" wrapText="1"/>
    </xf>
    <xf numFmtId="0" fontId="33" fillId="0" borderId="21" xfId="3" applyFont="1" applyBorder="1" applyAlignment="1">
      <alignment horizontal="center" wrapText="1"/>
    </xf>
    <xf numFmtId="0" fontId="33" fillId="0" borderId="22" xfId="3" applyFont="1" applyBorder="1" applyAlignment="1">
      <alignment horizontal="center" wrapText="1"/>
    </xf>
    <xf numFmtId="0" fontId="21" fillId="0" borderId="58" xfId="3" applyFont="1" applyBorder="1" applyAlignment="1">
      <alignment horizontal="center" wrapText="1"/>
    </xf>
    <xf numFmtId="0" fontId="21" fillId="0" borderId="43" xfId="3" applyFont="1" applyBorder="1" applyAlignment="1">
      <alignment horizontal="center" wrapText="1"/>
    </xf>
    <xf numFmtId="0" fontId="25" fillId="0" borderId="24" xfId="3" applyFont="1" applyBorder="1" applyAlignment="1">
      <alignment horizontal="center" wrapText="1"/>
    </xf>
    <xf numFmtId="0" fontId="25" fillId="0" borderId="25" xfId="3" applyFont="1" applyBorder="1" applyAlignment="1">
      <alignment horizontal="center" wrapText="1"/>
    </xf>
    <xf numFmtId="0" fontId="25" fillId="0" borderId="29" xfId="3" applyFont="1" applyBorder="1" applyAlignment="1">
      <alignment horizontal="center" wrapText="1"/>
    </xf>
    <xf numFmtId="0" fontId="20" fillId="16" borderId="21" xfId="3" applyFill="1" applyBorder="1" applyAlignment="1" applyProtection="1">
      <alignment horizontal="center"/>
      <protection locked="0"/>
    </xf>
    <xf numFmtId="0" fontId="20" fillId="16" borderId="22" xfId="3" applyFill="1" applyBorder="1" applyAlignment="1" applyProtection="1">
      <alignment horizontal="center"/>
      <protection locked="0"/>
    </xf>
    <xf numFmtId="14" fontId="21" fillId="0" borderId="21" xfId="3" applyNumberFormat="1" applyFont="1" applyBorder="1" applyAlignment="1">
      <alignment horizontal="center" wrapText="1"/>
    </xf>
    <xf numFmtId="0" fontId="41" fillId="0" borderId="24" xfId="3" applyFont="1" applyBorder="1" applyAlignment="1">
      <alignment horizontal="right" wrapText="1"/>
    </xf>
    <xf numFmtId="0" fontId="41" fillId="0" borderId="25" xfId="3" applyFont="1" applyBorder="1" applyAlignment="1">
      <alignment horizontal="right" wrapText="1"/>
    </xf>
    <xf numFmtId="0" fontId="6" fillId="16" borderId="25" xfId="3" applyFont="1" applyFill="1" applyBorder="1" applyAlignment="1" applyProtection="1">
      <alignment horizontal="center" wrapText="1"/>
      <protection locked="0"/>
    </xf>
    <xf numFmtId="0" fontId="6" fillId="16" borderId="29" xfId="3" applyFont="1" applyFill="1" applyBorder="1" applyAlignment="1" applyProtection="1">
      <alignment horizontal="center" wrapText="1"/>
      <protection locked="0"/>
    </xf>
    <xf numFmtId="0" fontId="20" fillId="0" borderId="0" xfId="3" applyFont="1" applyAlignment="1"/>
    <xf numFmtId="0" fontId="20" fillId="0" borderId="24" xfId="3" applyBorder="1" applyAlignment="1">
      <alignment horizontal="center"/>
    </xf>
    <xf numFmtId="0" fontId="20" fillId="0" borderId="25" xfId="3" applyBorder="1" applyAlignment="1">
      <alignment horizontal="center"/>
    </xf>
    <xf numFmtId="0" fontId="21" fillId="0" borderId="26" xfId="3" applyFont="1" applyBorder="1" applyAlignment="1">
      <alignment horizontal="center" vertical="center" wrapText="1"/>
    </xf>
    <xf numFmtId="0" fontId="21" fillId="0" borderId="28" xfId="3" applyFont="1" applyBorder="1" applyAlignment="1">
      <alignment horizontal="center" vertical="center" wrapText="1"/>
    </xf>
    <xf numFmtId="0" fontId="20" fillId="16" borderId="3" xfId="3" applyFont="1" applyFill="1" applyBorder="1" applyAlignment="1" applyProtection="1">
      <alignment horizontal="center" vertical="top" wrapText="1"/>
      <protection locked="0"/>
    </xf>
    <xf numFmtId="0" fontId="20" fillId="16" borderId="9" xfId="3" applyFont="1" applyFill="1" applyBorder="1" applyAlignment="1" applyProtection="1">
      <alignment horizontal="center" vertical="top" wrapText="1"/>
      <protection locked="0"/>
    </xf>
    <xf numFmtId="0" fontId="20" fillId="16" borderId="5" xfId="3" applyFont="1" applyFill="1" applyBorder="1" applyAlignment="1" applyProtection="1">
      <alignment horizontal="center" vertical="top" wrapText="1"/>
      <protection locked="0"/>
    </xf>
    <xf numFmtId="0" fontId="20" fillId="16" borderId="6" xfId="3" applyFont="1" applyFill="1" applyBorder="1" applyAlignment="1" applyProtection="1">
      <alignment horizontal="center" vertical="top" wrapText="1"/>
      <protection locked="0"/>
    </xf>
    <xf numFmtId="0" fontId="32" fillId="16" borderId="25" xfId="3" applyFont="1" applyFill="1" applyBorder="1" applyAlignment="1" applyProtection="1">
      <alignment horizontal="center" wrapText="1"/>
      <protection locked="0"/>
    </xf>
    <xf numFmtId="0" fontId="32" fillId="16" borderId="29" xfId="3" applyFont="1" applyFill="1" applyBorder="1" applyAlignment="1" applyProtection="1">
      <alignment horizontal="center" wrapText="1"/>
      <protection locked="0"/>
    </xf>
    <xf numFmtId="9" fontId="20" fillId="16" borderId="25" xfId="4" applyFont="1" applyFill="1" applyBorder="1" applyAlignment="1" applyProtection="1">
      <alignment horizontal="center" wrapText="1"/>
      <protection locked="0"/>
    </xf>
    <xf numFmtId="9" fontId="20" fillId="16" borderId="29" xfId="4" applyFont="1" applyFill="1" applyBorder="1" applyAlignment="1" applyProtection="1">
      <alignment horizontal="center" wrapText="1"/>
      <protection locked="0"/>
    </xf>
    <xf numFmtId="0" fontId="28" fillId="10" borderId="0" xfId="3" applyFont="1" applyFill="1" applyBorder="1" applyAlignment="1">
      <alignment horizontal="center" vertical="top" wrapText="1"/>
    </xf>
    <xf numFmtId="14" fontId="25" fillId="0" borderId="24" xfId="3" applyNumberFormat="1" applyFont="1" applyBorder="1" applyAlignment="1">
      <alignment horizontal="center" wrapText="1"/>
    </xf>
    <xf numFmtId="0" fontId="28" fillId="0" borderId="26" xfId="3" applyFont="1" applyBorder="1" applyAlignment="1">
      <alignment horizontal="center" vertical="top" wrapText="1"/>
    </xf>
    <xf numFmtId="0" fontId="28" fillId="0" borderId="27" xfId="3" applyFont="1" applyBorder="1" applyAlignment="1">
      <alignment horizontal="center" vertical="top" wrapText="1"/>
    </xf>
    <xf numFmtId="0" fontId="28" fillId="0" borderId="28" xfId="3" applyFont="1" applyBorder="1" applyAlignment="1">
      <alignment horizontal="center" vertical="top" wrapText="1"/>
    </xf>
    <xf numFmtId="0" fontId="20" fillId="16" borderId="11" xfId="3" applyFont="1" applyFill="1" applyBorder="1" applyAlignment="1" applyProtection="1">
      <alignment horizontal="center" vertical="top" wrapText="1"/>
      <protection locked="0"/>
    </xf>
    <xf numFmtId="0" fontId="20" fillId="16" borderId="12" xfId="3" applyFont="1" applyFill="1" applyBorder="1" applyAlignment="1" applyProtection="1">
      <alignment horizontal="center" vertical="top" wrapText="1"/>
      <protection locked="0"/>
    </xf>
    <xf numFmtId="0" fontId="28" fillId="0" borderId="26" xfId="3" applyFont="1" applyBorder="1" applyAlignment="1">
      <alignment horizontal="center" wrapText="1"/>
    </xf>
    <xf numFmtId="0" fontId="28" fillId="0" borderId="27" xfId="3" applyFont="1" applyBorder="1" applyAlignment="1">
      <alignment horizontal="center" wrapText="1"/>
    </xf>
    <xf numFmtId="0" fontId="28" fillId="0" borderId="28" xfId="3" applyFont="1" applyBorder="1" applyAlignment="1">
      <alignment horizontal="center" wrapText="1"/>
    </xf>
    <xf numFmtId="0" fontId="20" fillId="0" borderId="26" xfId="3" applyFont="1" applyBorder="1" applyAlignment="1">
      <alignment horizontal="center" wrapText="1"/>
    </xf>
    <xf numFmtId="0" fontId="20" fillId="0" borderId="28" xfId="3" applyFont="1" applyBorder="1" applyAlignment="1">
      <alignment horizontal="center" wrapText="1"/>
    </xf>
    <xf numFmtId="0" fontId="20" fillId="0" borderId="26" xfId="3" applyFont="1" applyBorder="1" applyAlignment="1">
      <alignment horizontal="center" vertical="top" wrapText="1"/>
    </xf>
    <xf numFmtId="0" fontId="20" fillId="0" borderId="27" xfId="3" applyFont="1" applyBorder="1" applyAlignment="1">
      <alignment horizontal="center" vertical="top" wrapText="1"/>
    </xf>
    <xf numFmtId="0" fontId="20" fillId="0" borderId="28" xfId="3" applyFont="1" applyBorder="1" applyAlignment="1">
      <alignment horizontal="center" vertical="top" wrapText="1"/>
    </xf>
    <xf numFmtId="0" fontId="20" fillId="0" borderId="21" xfId="3" applyFont="1" applyBorder="1" applyAlignment="1">
      <alignment horizontal="center" vertical="top" wrapText="1"/>
    </xf>
    <xf numFmtId="0" fontId="20" fillId="0" borderId="0" xfId="3" applyFont="1" applyBorder="1" applyAlignment="1">
      <alignment horizontal="center" vertical="top" wrapText="1"/>
    </xf>
    <xf numFmtId="0" fontId="20" fillId="0" borderId="22" xfId="3" applyFont="1" applyBorder="1" applyAlignment="1">
      <alignment horizontal="center" vertical="top" wrapText="1"/>
    </xf>
    <xf numFmtId="0" fontId="22" fillId="9" borderId="17" xfId="3" applyFont="1" applyFill="1" applyBorder="1" applyAlignment="1">
      <alignment horizontal="center" wrapText="1"/>
    </xf>
    <xf numFmtId="0" fontId="22" fillId="9" borderId="18" xfId="3" applyFont="1" applyFill="1" applyBorder="1" applyAlignment="1">
      <alignment horizontal="center" wrapText="1"/>
    </xf>
    <xf numFmtId="0" fontId="22" fillId="9" borderId="19" xfId="3" applyFont="1" applyFill="1" applyBorder="1" applyAlignment="1">
      <alignment horizontal="center" wrapText="1"/>
    </xf>
    <xf numFmtId="0" fontId="24" fillId="0" borderId="21" xfId="3" applyFont="1" applyBorder="1" applyAlignment="1">
      <alignment horizontal="center"/>
    </xf>
    <xf numFmtId="0" fontId="24" fillId="0" borderId="0" xfId="3" applyFont="1" applyBorder="1" applyAlignment="1">
      <alignment horizontal="center"/>
    </xf>
    <xf numFmtId="0" fontId="24" fillId="0" borderId="22" xfId="3" applyFont="1" applyBorder="1" applyAlignment="1">
      <alignment horizontal="center"/>
    </xf>
    <xf numFmtId="0" fontId="20" fillId="0" borderId="27" xfId="3" applyFont="1" applyBorder="1" applyAlignment="1">
      <alignment horizontal="center" wrapText="1"/>
    </xf>
    <xf numFmtId="0" fontId="20" fillId="0" borderId="21" xfId="3" applyFont="1" applyBorder="1" applyAlignment="1">
      <alignment horizontal="center" wrapText="1"/>
    </xf>
    <xf numFmtId="0" fontId="20" fillId="0" borderId="0" xfId="3" applyFont="1" applyBorder="1" applyAlignment="1">
      <alignment horizontal="center" wrapText="1"/>
    </xf>
    <xf numFmtId="0" fontId="20" fillId="0" borderId="24" xfId="3" applyFont="1" applyBorder="1" applyAlignment="1">
      <alignment horizontal="center" wrapText="1"/>
    </xf>
    <xf numFmtId="0" fontId="20" fillId="0" borderId="25" xfId="3" applyFont="1" applyBorder="1" applyAlignment="1">
      <alignment horizontal="center" wrapText="1"/>
    </xf>
    <xf numFmtId="0" fontId="20" fillId="0" borderId="29" xfId="3" applyFont="1" applyBorder="1" applyAlignment="1">
      <alignment horizontal="center" wrapText="1"/>
    </xf>
    <xf numFmtId="0" fontId="20" fillId="16" borderId="21" xfId="3" applyFont="1" applyFill="1" applyBorder="1" applyAlignment="1" applyProtection="1">
      <alignment horizontal="center" wrapText="1"/>
      <protection locked="0"/>
    </xf>
    <xf numFmtId="0" fontId="20" fillId="16" borderId="22" xfId="3" applyFont="1" applyFill="1" applyBorder="1" applyAlignment="1" applyProtection="1">
      <alignment horizontal="center" wrapText="1"/>
      <protection locked="0"/>
    </xf>
    <xf numFmtId="14" fontId="20" fillId="0" borderId="24" xfId="3" applyNumberFormat="1" applyFont="1" applyBorder="1" applyAlignment="1">
      <alignment horizontal="center" wrapText="1"/>
    </xf>
    <xf numFmtId="0" fontId="20" fillId="0" borderId="29" xfId="3" applyFont="1" applyBorder="1" applyAlignment="1">
      <alignment horizontal="center"/>
    </xf>
    <xf numFmtId="0" fontId="20" fillId="0" borderId="0" xfId="3" applyAlignment="1"/>
    <xf numFmtId="44" fontId="20" fillId="16" borderId="25" xfId="5" applyFont="1" applyFill="1" applyBorder="1" applyAlignment="1" applyProtection="1">
      <alignment horizontal="center"/>
      <protection locked="0"/>
    </xf>
    <xf numFmtId="0" fontId="20" fillId="16" borderId="24" xfId="3" applyFont="1" applyFill="1" applyBorder="1" applyAlignment="1" applyProtection="1">
      <alignment horizontal="center" vertical="center" wrapText="1"/>
      <protection locked="0"/>
    </xf>
    <xf numFmtId="0" fontId="20" fillId="16" borderId="25" xfId="3" applyFont="1" applyFill="1" applyBorder="1" applyAlignment="1" applyProtection="1">
      <alignment horizontal="center" vertical="center" wrapText="1"/>
      <protection locked="0"/>
    </xf>
    <xf numFmtId="0" fontId="25" fillId="0" borderId="25" xfId="3" applyFont="1" applyBorder="1" applyAlignment="1">
      <alignment horizontal="center"/>
    </xf>
    <xf numFmtId="0" fontId="20" fillId="16" borderId="24" xfId="3" applyFont="1" applyFill="1" applyBorder="1" applyAlignment="1" applyProtection="1">
      <alignment horizontal="center" wrapText="1"/>
      <protection locked="0"/>
    </xf>
    <xf numFmtId="0" fontId="20" fillId="16" borderId="29" xfId="3" applyFont="1" applyFill="1" applyBorder="1" applyAlignment="1" applyProtection="1">
      <alignment horizontal="center" wrapText="1"/>
      <protection locked="0"/>
    </xf>
    <xf numFmtId="0" fontId="22" fillId="0" borderId="27" xfId="3" applyFont="1" applyBorder="1" applyAlignment="1">
      <alignment horizontal="center" wrapText="1"/>
    </xf>
    <xf numFmtId="0" fontId="22" fillId="0" borderId="28" xfId="3" applyFont="1" applyBorder="1" applyAlignment="1">
      <alignment horizontal="center" wrapText="1"/>
    </xf>
    <xf numFmtId="0" fontId="20" fillId="0" borderId="29" xfId="3" applyBorder="1" applyAlignment="1">
      <alignment horizontal="center"/>
    </xf>
    <xf numFmtId="0" fontId="22" fillId="9" borderId="0" xfId="3" applyFont="1" applyFill="1" applyAlignment="1">
      <alignment horizontal="center" wrapText="1"/>
    </xf>
    <xf numFmtId="0" fontId="20" fillId="16" borderId="24" xfId="3" applyFill="1" applyBorder="1" applyAlignment="1" applyProtection="1">
      <alignment horizontal="center"/>
      <protection locked="0"/>
    </xf>
    <xf numFmtId="0" fontId="20" fillId="16" borderId="29" xfId="3" applyFill="1" applyBorder="1" applyAlignment="1" applyProtection="1">
      <alignment horizontal="center"/>
      <protection locked="0"/>
    </xf>
    <xf numFmtId="0" fontId="32" fillId="0" borderId="27" xfId="3" applyFont="1" applyBorder="1" applyAlignment="1">
      <alignment horizontal="center" wrapText="1"/>
    </xf>
    <xf numFmtId="0" fontId="32" fillId="0" borderId="28" xfId="3" applyFont="1" applyBorder="1" applyAlignment="1">
      <alignment horizontal="center" wrapText="1"/>
    </xf>
    <xf numFmtId="0" fontId="3" fillId="0" borderId="0" xfId="1" applyFont="1" applyAlignment="1">
      <alignment horizontal="center" wrapText="1"/>
    </xf>
    <xf numFmtId="0" fontId="20" fillId="0" borderId="0" xfId="1" applyFont="1" applyAlignment="1">
      <alignment horizontal="left"/>
    </xf>
    <xf numFmtId="0" fontId="20" fillId="0" borderId="0" xfId="3" applyAlignment="1">
      <alignment horizontal="left"/>
    </xf>
    <xf numFmtId="0" fontId="20" fillId="0" borderId="0" xfId="3" applyFont="1" applyAlignment="1">
      <alignment horizontal="left"/>
    </xf>
    <xf numFmtId="0" fontId="3" fillId="11" borderId="0" xfId="1" applyFont="1" applyFill="1" applyAlignment="1">
      <alignment horizontal="center"/>
    </xf>
    <xf numFmtId="0" fontId="20" fillId="10" borderId="0" xfId="1" applyFont="1" applyFill="1" applyBorder="1" applyAlignment="1">
      <alignment horizontal="left"/>
    </xf>
    <xf numFmtId="0" fontId="21" fillId="9" borderId="31" xfId="1" applyFont="1" applyFill="1" applyBorder="1" applyAlignment="1">
      <alignment horizontal="left"/>
    </xf>
    <xf numFmtId="0" fontId="21" fillId="9" borderId="23" xfId="1" applyFont="1" applyFill="1" applyBorder="1" applyAlignment="1">
      <alignment horizontal="left"/>
    </xf>
  </cellXfs>
  <cellStyles count="11">
    <cellStyle name="Comma 2" xfId="7" xr:uid="{00000000-0005-0000-0000-000000000000}"/>
    <cellStyle name="Currency 2" xfId="5" xr:uid="{00000000-0005-0000-0000-000001000000}"/>
    <cellStyle name="Currency 3" xfId="8" xr:uid="{00000000-0005-0000-0000-000002000000}"/>
    <cellStyle name="Hyperlink" xfId="2" builtinId="8"/>
    <cellStyle name="Hyperlink 2" xfId="10" xr:uid="{00000000-0005-0000-0000-000004000000}"/>
    <cellStyle name="Normal" xfId="0" builtinId="0"/>
    <cellStyle name="Normal 2" xfId="1" xr:uid="{00000000-0005-0000-0000-000006000000}"/>
    <cellStyle name="Normal 3" xfId="6" xr:uid="{00000000-0005-0000-0000-000007000000}"/>
    <cellStyle name="Normal 4" xfId="3" xr:uid="{00000000-0005-0000-0000-000008000000}"/>
    <cellStyle name="Percent 2" xfId="4" xr:uid="{00000000-0005-0000-0000-000009000000}"/>
    <cellStyle name="Percent 3" xfId="9" xr:uid="{00000000-0005-0000-0000-00000A000000}"/>
  </cellStyles>
  <dxfs count="1771">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9C0006"/>
      </font>
      <fill>
        <patternFill>
          <bgColor rgb="FFFFC7CE"/>
        </patternFill>
      </fill>
    </dxf>
    <dxf>
      <font>
        <color theme="5" tint="-0.499984740745262"/>
      </font>
      <fill>
        <patternFill>
          <bgColor rgb="FFFFCCCC"/>
        </patternFill>
      </fill>
    </dxf>
    <dxf>
      <font>
        <color theme="5" tint="-0.499984740745262"/>
      </font>
      <fill>
        <patternFill>
          <bgColor rgb="FFFFCCCC"/>
        </patternFill>
      </fill>
    </dxf>
  </dxfs>
  <tableStyles count="0" defaultTableStyle="TableStyleMedium2" defaultPivotStyle="PivotStyleLight16"/>
  <colors>
    <mruColors>
      <color rgb="FFFFCCCC"/>
      <color rgb="FFFF99CC"/>
      <color rgb="FFFFCCFF"/>
      <color rgb="FFFF9999"/>
      <color rgb="FFFF7C80"/>
      <color rgb="FFFF505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O6" lockText="1"/>
</file>

<file path=xl/ctrlProps/ctrlProp2.xml><?xml version="1.0" encoding="utf-8"?>
<formControlPr xmlns="http://schemas.microsoft.com/office/spreadsheetml/2009/9/main" objectType="CheckBox" fmlaLink="O7" lockText="1"/>
</file>

<file path=xl/ctrlProps/ctrlProp3.xml><?xml version="1.0" encoding="utf-8"?>
<formControlPr xmlns="http://schemas.microsoft.com/office/spreadsheetml/2009/9/main" objectType="CheckBox" fmlaLink="O8" lockText="1"/>
</file>

<file path=xl/ctrlProps/ctrlProp4.xml><?xml version="1.0" encoding="utf-8"?>
<formControlPr xmlns="http://schemas.microsoft.com/office/spreadsheetml/2009/9/main" objectType="CheckBox" fmlaLink="O9" lockText="1"/>
</file>

<file path=xl/ctrlProps/ctrlProp5.xml><?xml version="1.0" encoding="utf-8"?>
<formControlPr xmlns="http://schemas.microsoft.com/office/spreadsheetml/2009/9/main" objectType="CheckBox" fmlaLink="O10" lockText="1"/>
</file>

<file path=xl/ctrlProps/ctrlProp6.xml><?xml version="1.0" encoding="utf-8"?>
<formControlPr xmlns="http://schemas.microsoft.com/office/spreadsheetml/2009/9/main" objectType="CheckBox" fmlaLink="O11" lockText="1"/>
</file>

<file path=xl/ctrlProps/ctrlProp7.xml><?xml version="1.0" encoding="utf-8"?>
<formControlPr xmlns="http://schemas.microsoft.com/office/spreadsheetml/2009/9/main" objectType="CheckBox" fmlaLink="O12" lockText="1"/>
</file>

<file path=xl/ctrlProps/ctrlProp8.xml><?xml version="1.0" encoding="utf-8"?>
<formControlPr xmlns="http://schemas.microsoft.com/office/spreadsheetml/2009/9/main" objectType="CheckBox" fmlaLink="O13" lockText="1"/>
</file>

<file path=xl/ctrlProps/ctrlProp9.xml><?xml version="1.0" encoding="utf-8"?>
<formControlPr xmlns="http://schemas.microsoft.com/office/spreadsheetml/2009/9/main" objectType="CheckBox" fmlaLink="O14" lockText="1"/>
</file>

<file path=xl/ctrlProps/ctrlProp10.xml><?xml version="1.0" encoding="utf-8"?>
<formControlPr xmlns="http://schemas.microsoft.com/office/spreadsheetml/2009/9/main" objectType="CheckBox" fmlaLink="O15" lockText="1"/>
</file>

<file path=xl/ctrlProps/ctrlProp11.xml><?xml version="1.0" encoding="utf-8"?>
<formControlPr xmlns="http://schemas.microsoft.com/office/spreadsheetml/2009/9/main" objectType="CheckBox" fmlaLink="O16" lockText="1"/>
</file>

<file path=xl/ctrlProps/ctrlProp12.xml><?xml version="1.0" encoding="utf-8"?>
<formControlPr xmlns="http://schemas.microsoft.com/office/spreadsheetml/2009/9/main" objectType="CheckBox" fmlaLink="O17" lockText="1"/>
</file>

<file path=xl/ctrlProps/ctrlProp13.xml><?xml version="1.0" encoding="utf-8"?>
<formControlPr xmlns="http://schemas.microsoft.com/office/spreadsheetml/2009/9/main" objectType="CheckBox" fmlaLink="O18" lockText="1"/>
</file>

<file path=xl/ctrlProps/ctrlProp14.xml><?xml version="1.0" encoding="utf-8"?>
<formControlPr xmlns="http://schemas.microsoft.com/office/spreadsheetml/2009/9/main" objectType="CheckBox" fmlaLink="O19" lockText="1"/>
</file>

<file path=xl/ctrlProps/ctrlProp15.xml><?xml version="1.0" encoding="utf-8"?>
<formControlPr xmlns="http://schemas.microsoft.com/office/spreadsheetml/2009/9/main" objectType="CheckBox" fmlaLink="O20" lockText="1"/>
</file>

<file path=xl/ctrlProps/ctrlProp16.xml><?xml version="1.0" encoding="utf-8"?>
<formControlPr xmlns="http://schemas.microsoft.com/office/spreadsheetml/2009/9/main" objectType="CheckBox" fmlaLink="O21" lockText="1"/>
</file>

<file path=xl/ctrlProps/ctrlProp17.xml><?xml version="1.0" encoding="utf-8"?>
<formControlPr xmlns="http://schemas.microsoft.com/office/spreadsheetml/2009/9/main" objectType="CheckBox" fmlaLink="O22" lockText="1"/>
</file>

<file path=xl/ctrlProps/ctrlProp18.xml><?xml version="1.0" encoding="utf-8"?>
<formControlPr xmlns="http://schemas.microsoft.com/office/spreadsheetml/2009/9/main" objectType="CheckBox" fmlaLink="O23" lockText="1"/>
</file>

<file path=xl/ctrlProps/ctrlProp19.xml><?xml version="1.0" encoding="utf-8"?>
<formControlPr xmlns="http://schemas.microsoft.com/office/spreadsheetml/2009/9/main" objectType="CheckBox" fmlaLink="O24" lockText="1"/>
</file>

<file path=xl/ctrlProps/ctrlProp20.xml><?xml version="1.0" encoding="utf-8"?>
<formControlPr xmlns="http://schemas.microsoft.com/office/spreadsheetml/2009/9/main" objectType="CheckBox" fmlaLink="O25" lockText="1"/>
</file>

<file path=xl/ctrlProps/ctrlProp21.xml><?xml version="1.0" encoding="utf-8"?>
<formControlPr xmlns="http://schemas.microsoft.com/office/spreadsheetml/2009/9/main" objectType="CheckBox" fmlaLink="O26" lockText="1"/>
</file>

<file path=xl/ctrlProps/ctrlProp22.xml><?xml version="1.0" encoding="utf-8"?>
<formControlPr xmlns="http://schemas.microsoft.com/office/spreadsheetml/2009/9/main" objectType="CheckBox" fmlaLink="O27" lockText="1"/>
</file>

<file path=xl/ctrlProps/ctrlProp23.xml><?xml version="1.0" encoding="utf-8"?>
<formControlPr xmlns="http://schemas.microsoft.com/office/spreadsheetml/2009/9/main" objectType="CheckBox" fmlaLink="O28" lockText="1"/>
</file>

<file path=xl/ctrlProps/ctrlProp24.xml><?xml version="1.0" encoding="utf-8"?>
<formControlPr xmlns="http://schemas.microsoft.com/office/spreadsheetml/2009/9/main" objectType="CheckBox" fmlaLink="O29" lockText="1"/>
</file>

<file path=xl/ctrlProps/ctrlProp25.xml><?xml version="1.0" encoding="utf-8"?>
<formControlPr xmlns="http://schemas.microsoft.com/office/spreadsheetml/2009/9/main" objectType="CheckBox" fmlaLink="O30" lockText="1"/>
</file>

<file path=xl/ctrlProps/ctrlProp26.xml><?xml version="1.0" encoding="utf-8"?>
<formControlPr xmlns="http://schemas.microsoft.com/office/spreadsheetml/2009/9/main" objectType="CheckBox" fmlaLink="O31" lockText="1"/>
</file>

<file path=xl/ctrlProps/ctrlProp27.xml><?xml version="1.0" encoding="utf-8"?>
<formControlPr xmlns="http://schemas.microsoft.com/office/spreadsheetml/2009/9/main" objectType="CheckBox" fmlaLink="O32" lockText="1"/>
</file>

<file path=xl/ctrlProps/ctrlProp28.xml><?xml version="1.0" encoding="utf-8"?>
<formControlPr xmlns="http://schemas.microsoft.com/office/spreadsheetml/2009/9/main" objectType="CheckBox" fmlaLink="O33" lockText="1"/>
</file>

<file path=xl/ctrlProps/ctrlProp29.xml><?xml version="1.0" encoding="utf-8"?>
<formControlPr xmlns="http://schemas.microsoft.com/office/spreadsheetml/2009/9/main" objectType="CheckBox" fmlaLink="O34" lockText="1"/>
</file>

<file path=xl/ctrlProps/ctrlProp30.xml><?xml version="1.0" encoding="utf-8"?>
<formControlPr xmlns="http://schemas.microsoft.com/office/spreadsheetml/2009/9/main" objectType="CheckBox" fmlaLink="O36" lockText="1"/>
</file>

<file path=xl/ctrlProps/ctrlProp31.xml><?xml version="1.0" encoding="utf-8"?>
<formControlPr xmlns="http://schemas.microsoft.com/office/spreadsheetml/2009/9/main" objectType="CheckBox" fmlaLink="O37" lockText="1"/>
</file>

<file path=xl/ctrlProps/ctrlProp32.xml><?xml version="1.0" encoding="utf-8"?>
<formControlPr xmlns="http://schemas.microsoft.com/office/spreadsheetml/2009/9/main" objectType="CheckBox" fmlaLink="O38" lockText="1"/>
</file>

<file path=xl/ctrlProps/ctrlProp33.xml><?xml version="1.0" encoding="utf-8"?>
<formControlPr xmlns="http://schemas.microsoft.com/office/spreadsheetml/2009/9/main" objectType="CheckBox" fmlaLink="O39" lockText="1"/>
</file>

<file path=xl/ctrlProps/ctrlProp34.xml><?xml version="1.0" encoding="utf-8"?>
<formControlPr xmlns="http://schemas.microsoft.com/office/spreadsheetml/2009/9/main" objectType="CheckBox" fmlaLink="O40" lockText="1"/>
</file>

<file path=xl/ctrlProps/ctrlProp35.xml><?xml version="1.0" encoding="utf-8"?>
<formControlPr xmlns="http://schemas.microsoft.com/office/spreadsheetml/2009/9/main" objectType="CheckBox" fmlaLink="O41" lockText="1"/>
</file>

<file path=xl/ctrlProps/ctrlProp36.xml><?xml version="1.0" encoding="utf-8"?>
<formControlPr xmlns="http://schemas.microsoft.com/office/spreadsheetml/2009/9/main" objectType="CheckBox" fmlaLink="O42" lockText="1"/>
</file>

<file path=xl/ctrlProps/ctrlProp37.xml><?xml version="1.0" encoding="utf-8"?>
<formControlPr xmlns="http://schemas.microsoft.com/office/spreadsheetml/2009/9/main" objectType="CheckBox" fmlaLink="O43" lockText="1"/>
</file>

<file path=xl/ctrlProps/ctrlProp38.xml><?xml version="1.0" encoding="utf-8"?>
<formControlPr xmlns="http://schemas.microsoft.com/office/spreadsheetml/2009/9/main" objectType="CheckBox" fmlaLink="O44" lockText="1"/>
</file>

<file path=xl/ctrlProps/ctrlProp39.xml><?xml version="1.0" encoding="utf-8"?>
<formControlPr xmlns="http://schemas.microsoft.com/office/spreadsheetml/2009/9/main" objectType="CheckBox" fmlaLink="O45" lockText="1"/>
</file>

<file path=xl/ctrlProps/ctrlProp40.xml><?xml version="1.0" encoding="utf-8"?>
<formControlPr xmlns="http://schemas.microsoft.com/office/spreadsheetml/2009/9/main" objectType="CheckBox" fmlaLink="O46" lockText="1"/>
</file>

<file path=xl/ctrlProps/ctrlProp41.xml><?xml version="1.0" encoding="utf-8"?>
<formControlPr xmlns="http://schemas.microsoft.com/office/spreadsheetml/2009/9/main" objectType="CheckBox" fmlaLink="O47" lockText="1"/>
</file>

<file path=xl/ctrlProps/ctrlProp42.xml><?xml version="1.0" encoding="utf-8"?>
<formControlPr xmlns="http://schemas.microsoft.com/office/spreadsheetml/2009/9/main" objectType="CheckBox" fmlaLink="O35" lockText="1"/>
</file>

<file path=xl/ctrlProps/ctrlProp43.xml><?xml version="1.0" encoding="utf-8"?>
<formControlPr xmlns="http://schemas.microsoft.com/office/spreadsheetml/2009/9/main" objectType="CheckBox" fmlaLink="N9" lockText="1"/>
</file>

<file path=xl/ctrlProps/ctrlProp44.xml><?xml version="1.0" encoding="utf-8"?>
<formControlPr xmlns="http://schemas.microsoft.com/office/spreadsheetml/2009/9/main" objectType="CheckBox" fmlaLink="O9" lockText="1"/>
</file>

<file path=xl/ctrlProps/ctrlProp45.xml><?xml version="1.0" encoding="utf-8"?>
<formControlPr xmlns="http://schemas.microsoft.com/office/spreadsheetml/2009/9/main" objectType="CheckBox" fmlaLink="N13" lockText="1"/>
</file>

<file path=xl/ctrlProps/ctrlProp46.xml><?xml version="1.0" encoding="utf-8"?>
<formControlPr xmlns="http://schemas.microsoft.com/office/spreadsheetml/2009/9/main" objectType="CheckBox" fmlaLink="O13" lockText="1"/>
</file>

<file path=xl/ctrlProps/ctrlProp47.xml><?xml version="1.0" encoding="utf-8"?>
<formControlPr xmlns="http://schemas.microsoft.com/office/spreadsheetml/2009/9/main" objectType="CheckBox" fmlaLink="N14" lockText="1"/>
</file>

<file path=xl/ctrlProps/ctrlProp48.xml><?xml version="1.0" encoding="utf-8"?>
<formControlPr xmlns="http://schemas.microsoft.com/office/spreadsheetml/2009/9/main" objectType="CheckBox" fmlaLink="O14" lockText="1"/>
</file>

<file path=xl/ctrlProps/ctrlProp49.xml><?xml version="1.0" encoding="utf-8"?>
<formControlPr xmlns="http://schemas.microsoft.com/office/spreadsheetml/2009/9/main" objectType="CheckBox" fmlaLink="N15" lockText="1"/>
</file>

<file path=xl/ctrlProps/ctrlProp50.xml><?xml version="1.0" encoding="utf-8"?>
<formControlPr xmlns="http://schemas.microsoft.com/office/spreadsheetml/2009/9/main" objectType="CheckBox" fmlaLink="O15" lockText="1"/>
</file>

<file path=xl/ctrlProps/ctrlProp51.xml><?xml version="1.0" encoding="utf-8"?>
<formControlPr xmlns="http://schemas.microsoft.com/office/spreadsheetml/2009/9/main" objectType="CheckBox" fmlaLink="N17" lockText="1"/>
</file>

<file path=xl/ctrlProps/ctrlProp52.xml><?xml version="1.0" encoding="utf-8"?>
<formControlPr xmlns="http://schemas.microsoft.com/office/spreadsheetml/2009/9/main" objectType="CheckBox" fmlaLink="O17"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fmlaLink="N15" lockText="1"/>
</file>

<file path=xl/ctrlProps/ctrlProp60.xml><?xml version="1.0" encoding="utf-8"?>
<formControlPr xmlns="http://schemas.microsoft.com/office/spreadsheetml/2009/9/main" objectType="CheckBox" fmlaLink="O15" lockText="1"/>
</file>

<file path=xl/ctrlProps/ctrlProp61.xml><?xml version="1.0" encoding="utf-8"?>
<formControlPr xmlns="http://schemas.microsoft.com/office/spreadsheetml/2009/9/main" objectType="CheckBox" fmlaLink="N18" lockText="1"/>
</file>

<file path=xl/ctrlProps/ctrlProp62.xml><?xml version="1.0" encoding="utf-8"?>
<formControlPr xmlns="http://schemas.microsoft.com/office/spreadsheetml/2009/9/main" objectType="CheckBox" fmlaLink="O18" lockText="1"/>
</file>

<file path=xl/ctrlProps/ctrlProp63.xml><?xml version="1.0" encoding="utf-8"?>
<formControlPr xmlns="http://schemas.microsoft.com/office/spreadsheetml/2009/9/main" objectType="CheckBox" fmlaLink="N14" lockText="1"/>
</file>

<file path=xl/ctrlProps/ctrlProp64.xml><?xml version="1.0" encoding="utf-8"?>
<formControlPr xmlns="http://schemas.microsoft.com/office/spreadsheetml/2009/9/main" objectType="CheckBox" fmlaLink="O14" lockText="1"/>
</file>

<file path=xl/ctrlProps/ctrlProp65.xml><?xml version="1.0" encoding="utf-8"?>
<formControlPr xmlns="http://schemas.microsoft.com/office/spreadsheetml/2009/9/main" objectType="CheckBox" fmlaLink="N17" lockText="1"/>
</file>

<file path=xl/ctrlProps/ctrlProp66.xml><?xml version="1.0" encoding="utf-8"?>
<formControlPr xmlns="http://schemas.microsoft.com/office/spreadsheetml/2009/9/main" objectType="CheckBox" fmlaLink="O17" lockText="1"/>
</file>

<file path=xl/ctrlProps/ctrlProp67.xml><?xml version="1.0" encoding="utf-8"?>
<formControlPr xmlns="http://schemas.microsoft.com/office/spreadsheetml/2009/9/main" objectType="CheckBox" fmlaLink="N13" lockText="1"/>
</file>

<file path=xl/ctrlProps/ctrlProp68.xml><?xml version="1.0" encoding="utf-8"?>
<formControlPr xmlns="http://schemas.microsoft.com/office/spreadsheetml/2009/9/main" objectType="CheckBox" fmlaLink="O13" lockText="1"/>
</file>

<file path=xl/ctrlProps/ctrlProp69.xml><?xml version="1.0" encoding="utf-8"?>
<formControlPr xmlns="http://schemas.microsoft.com/office/spreadsheetml/2009/9/main" objectType="CheckBox" fmlaLink="N11" lockText="1"/>
</file>

<file path=xl/ctrlProps/ctrlProp70.xml><?xml version="1.0" encoding="utf-8"?>
<formControlPr xmlns="http://schemas.microsoft.com/office/spreadsheetml/2009/9/main" objectType="CheckBox" fmlaLink="O11" lockText="1"/>
</file>

<file path=xl/ctrlProps/ctrlProp71.xml><?xml version="1.0" encoding="utf-8"?>
<formControlPr xmlns="http://schemas.microsoft.com/office/spreadsheetml/2009/9/main" objectType="CheckBox" fmlaLink="N18" lockText="1"/>
</file>

<file path=xl/ctrlProps/ctrlProp72.xml><?xml version="1.0" encoding="utf-8"?>
<formControlPr xmlns="http://schemas.microsoft.com/office/spreadsheetml/2009/9/main" objectType="CheckBox" fmlaLink="O18" lockText="1"/>
</file>

<file path=xl/ctrlProps/ctrlProp73.xml><?xml version="1.0" encoding="utf-8"?>
<formControlPr xmlns="http://schemas.microsoft.com/office/spreadsheetml/2009/9/main" objectType="CheckBox" fmlaLink="N14" lockText="1"/>
</file>

<file path=xl/ctrlProps/ctrlProp74.xml><?xml version="1.0" encoding="utf-8"?>
<formControlPr xmlns="http://schemas.microsoft.com/office/spreadsheetml/2009/9/main" objectType="CheckBox" fmlaLink="O14" lockText="1"/>
</file>

<file path=xl/ctrlProps/ctrlProp75.xml><?xml version="1.0" encoding="utf-8"?>
<formControlPr xmlns="http://schemas.microsoft.com/office/spreadsheetml/2009/9/main" objectType="CheckBox" fmlaLink="N16" lockText="1"/>
</file>

<file path=xl/ctrlProps/ctrlProp76.xml><?xml version="1.0" encoding="utf-8"?>
<formControlPr xmlns="http://schemas.microsoft.com/office/spreadsheetml/2009/9/main" objectType="CheckBox" fmlaLink="O16"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76202</xdr:colOff>
      <xdr:row>1</xdr:row>
      <xdr:rowOff>95249</xdr:rowOff>
    </xdr:from>
    <xdr:to>
      <xdr:col>2</xdr:col>
      <xdr:colOff>578352</xdr:colOff>
      <xdr:row>1</xdr:row>
      <xdr:rowOff>876300</xdr:rowOff>
    </xdr:to>
    <xdr:pic>
      <xdr:nvPicPr>
        <xdr:cNvPr id="2" name="Picture 37">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5802" y="285749"/>
          <a:ext cx="1035550" cy="781051"/>
        </a:xfrm>
        <a:prstGeom prst="rect">
          <a:avLst/>
        </a:prstGeom>
        <a:noFill/>
      </xdr:spPr>
    </xdr:pic>
    <xdr:clientData/>
  </xdr:twoCellAnchor>
  <xdr:twoCellAnchor editAs="oneCell">
    <xdr:from>
      <xdr:col>8</xdr:col>
      <xdr:colOff>0</xdr:colOff>
      <xdr:row>1</xdr:row>
      <xdr:rowOff>133350</xdr:rowOff>
    </xdr:from>
    <xdr:to>
      <xdr:col>11</xdr:col>
      <xdr:colOff>47626</xdr:colOff>
      <xdr:row>1</xdr:row>
      <xdr:rowOff>1000124</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810125" y="323850"/>
          <a:ext cx="2476500" cy="866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604761</xdr:colOff>
          <xdr:row>6</xdr:row>
          <xdr:rowOff>182017</xdr:rowOff>
        </xdr:from>
        <xdr:to>
          <xdr:col>10</xdr:col>
          <xdr:colOff>591779</xdr:colOff>
          <xdr:row>23</xdr:row>
          <xdr:rowOff>63985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424286" y="2201317"/>
              <a:ext cx="3997043" cy="3711018"/>
              <a:chOff x="1572624" y="3016472"/>
              <a:chExt cx="3812381" cy="3161946"/>
            </a:xfrm>
          </xdr:grpSpPr>
          <xdr:sp macro="" textlink="">
            <xdr:nvSpPr>
              <xdr:cNvPr id="1075" name="Check Box 51" descr="AL"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1572624" y="3016472"/>
                <a:ext cx="916321" cy="27954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AL    </a:t>
                </a:r>
              </a:p>
            </xdr:txBody>
          </xdr:sp>
          <xdr:sp macro="" textlink="">
            <xdr:nvSpPr>
              <xdr:cNvPr id="1076" name="Check Box 52" descr="AL"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1572624" y="3303333"/>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AK</a:t>
                </a:r>
              </a:p>
            </xdr:txBody>
          </xdr:sp>
          <xdr:sp macro="" textlink="">
            <xdr:nvSpPr>
              <xdr:cNvPr id="1077" name="Check Box 53" descr="AL"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1572624" y="3592453"/>
                <a:ext cx="915906" cy="27954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AZ</a:t>
                </a:r>
              </a:p>
            </xdr:txBody>
          </xdr:sp>
          <xdr:sp macro="" textlink="">
            <xdr:nvSpPr>
              <xdr:cNvPr id="1078" name="Check Box 54" descr="AL"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1572624" y="3881916"/>
                <a:ext cx="915589" cy="276901"/>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AR</a:t>
                </a:r>
              </a:p>
            </xdr:txBody>
          </xdr:sp>
          <xdr:sp macro="" textlink="">
            <xdr:nvSpPr>
              <xdr:cNvPr id="1079" name="Check Box 55" descr="AL"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1572624" y="4172099"/>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a:t>
                </a:r>
              </a:p>
            </xdr:txBody>
          </xdr:sp>
          <xdr:sp macro="" textlink="">
            <xdr:nvSpPr>
              <xdr:cNvPr id="1080" name="Check Box 56" descr="AL"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1572624" y="4460088"/>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CO</a:t>
                </a:r>
              </a:p>
            </xdr:txBody>
          </xdr:sp>
          <xdr:sp macro="" textlink="">
            <xdr:nvSpPr>
              <xdr:cNvPr id="1081" name="Check Box 57" descr="AL"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1572624" y="4748876"/>
                <a:ext cx="91602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CT</a:t>
                </a:r>
              </a:p>
            </xdr:txBody>
          </xdr:sp>
          <xdr:sp macro="" textlink="">
            <xdr:nvSpPr>
              <xdr:cNvPr id="1082" name="Check Box 58" descr="AL"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1572624" y="5036066"/>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DE</a:t>
                </a:r>
              </a:p>
            </xdr:txBody>
          </xdr:sp>
          <xdr:sp macro="" textlink="">
            <xdr:nvSpPr>
              <xdr:cNvPr id="1083" name="Check Box 59" descr="AL"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1572624" y="5324054"/>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D.C.</a:t>
                </a:r>
              </a:p>
            </xdr:txBody>
          </xdr:sp>
          <xdr:sp macro="" textlink="">
            <xdr:nvSpPr>
              <xdr:cNvPr id="1084" name="Check Box 60" descr="AL"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1572624" y="5612043"/>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GA</a:t>
                </a:r>
              </a:p>
            </xdr:txBody>
          </xdr:sp>
          <xdr:sp macro="" textlink="">
            <xdr:nvSpPr>
              <xdr:cNvPr id="1086" name="Check Box 62" descr="AL"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1572624" y="5900029"/>
                <a:ext cx="916551" cy="278389"/>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ID</a:t>
                </a:r>
              </a:p>
            </xdr:txBody>
          </xdr:sp>
          <xdr:sp macro="" textlink="">
            <xdr:nvSpPr>
              <xdr:cNvPr id="1087" name="Check Box 63" descr="AL"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2542558" y="3029871"/>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IL</a:t>
                </a:r>
              </a:p>
            </xdr:txBody>
          </xdr:sp>
          <xdr:sp macro="" textlink="">
            <xdr:nvSpPr>
              <xdr:cNvPr id="1088" name="Check Box 64" descr="AL"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2542558" y="330609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a:t>
                </a:r>
              </a:p>
            </xdr:txBody>
          </xdr:sp>
          <xdr:sp macro="" textlink="">
            <xdr:nvSpPr>
              <xdr:cNvPr id="1089" name="Check Box 65" descr="AL"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2542558" y="36013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IA</a:t>
                </a:r>
              </a:p>
            </xdr:txBody>
          </xdr:sp>
          <xdr:sp macro="" textlink="">
            <xdr:nvSpPr>
              <xdr:cNvPr id="1090" name="Check Box 66" descr="AL"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2542558" y="388712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KS</a:t>
                </a:r>
              </a:p>
            </xdr:txBody>
          </xdr:sp>
          <xdr:sp macro="" textlink="">
            <xdr:nvSpPr>
              <xdr:cNvPr id="1091" name="Check Box 67" descr="AL"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2542558" y="4172871"/>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KY</a:t>
                </a:r>
              </a:p>
            </xdr:txBody>
          </xdr:sp>
          <xdr:sp macro="" textlink="">
            <xdr:nvSpPr>
              <xdr:cNvPr id="1092" name="Check Box 68" descr="AL"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2542558" y="444909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LA</a:t>
                </a:r>
              </a:p>
            </xdr:txBody>
          </xdr:sp>
          <xdr:sp macro="" textlink="">
            <xdr:nvSpPr>
              <xdr:cNvPr id="1093" name="Check Box 69" descr="AL"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2542558" y="47443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ME</a:t>
                </a:r>
              </a:p>
            </xdr:txBody>
          </xdr:sp>
          <xdr:sp macro="" textlink="">
            <xdr:nvSpPr>
              <xdr:cNvPr id="1094" name="Check Box 70" descr="AL"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2542558" y="503964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MD</a:t>
                </a:r>
              </a:p>
            </xdr:txBody>
          </xdr:sp>
          <xdr:sp macro="" textlink="">
            <xdr:nvSpPr>
              <xdr:cNvPr id="1096" name="Check Box 72" descr="AL"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2542558" y="5325396"/>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MI</a:t>
                </a:r>
              </a:p>
            </xdr:txBody>
          </xdr:sp>
          <xdr:sp macro="" textlink="">
            <xdr:nvSpPr>
              <xdr:cNvPr id="1097" name="Check Box 73" descr="AL"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2542558" y="560162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MN</a:t>
                </a:r>
              </a:p>
            </xdr:txBody>
          </xdr:sp>
          <xdr:sp macro="" textlink="">
            <xdr:nvSpPr>
              <xdr:cNvPr id="1098" name="Check Box 74" descr="AL"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3510423" y="30264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MS</a:t>
                </a:r>
              </a:p>
            </xdr:txBody>
          </xdr:sp>
          <xdr:sp macro="" textlink="">
            <xdr:nvSpPr>
              <xdr:cNvPr id="1099" name="Check Box 75" descr="AL"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3510423" y="3310400"/>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MO</a:t>
                </a:r>
              </a:p>
            </xdr:txBody>
          </xdr:sp>
          <xdr:sp macro="" textlink="">
            <xdr:nvSpPr>
              <xdr:cNvPr id="1100" name="Check Box 76" descr="AL"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3510423" y="35979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MT</a:t>
                </a:r>
              </a:p>
            </xdr:txBody>
          </xdr:sp>
          <xdr:sp macro="" textlink="">
            <xdr:nvSpPr>
              <xdr:cNvPr id="1101" name="Check Box 77" descr="AL"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3510423" y="38837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NE</a:t>
                </a:r>
              </a:p>
            </xdr:txBody>
          </xdr:sp>
          <xdr:sp macro="" textlink="">
            <xdr:nvSpPr>
              <xdr:cNvPr id="1102" name="Check Box 78" descr="AL"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3510423" y="4179018"/>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NV</a:t>
                </a:r>
              </a:p>
            </xdr:txBody>
          </xdr:sp>
          <xdr:sp macro="" textlink="">
            <xdr:nvSpPr>
              <xdr:cNvPr id="1103" name="Check Box 79" descr="AL"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3510423" y="44552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NH</a:t>
                </a:r>
              </a:p>
            </xdr:txBody>
          </xdr:sp>
          <xdr:sp macro="" textlink="">
            <xdr:nvSpPr>
              <xdr:cNvPr id="1104" name="Check Box 80" descr="AL"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3510423" y="474099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NJ</a:t>
                </a:r>
              </a:p>
            </xdr:txBody>
          </xdr:sp>
          <xdr:sp macro="" textlink="">
            <xdr:nvSpPr>
              <xdr:cNvPr id="1105" name="Check Box 81" descr="AL"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3510423" y="502674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NM</a:t>
                </a:r>
              </a:p>
            </xdr:txBody>
          </xdr:sp>
          <xdr:sp macro="" textlink="">
            <xdr:nvSpPr>
              <xdr:cNvPr id="1107" name="Check Box 83" descr="AL"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3510423" y="5606068"/>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NC</a:t>
                </a:r>
              </a:p>
            </xdr:txBody>
          </xdr:sp>
          <xdr:sp macro="" textlink="">
            <xdr:nvSpPr>
              <xdr:cNvPr id="1110" name="Check Box 86" descr="AL"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3510423" y="588856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OK</a:t>
                </a:r>
              </a:p>
            </xdr:txBody>
          </xdr:sp>
          <xdr:sp macro="" textlink="">
            <xdr:nvSpPr>
              <xdr:cNvPr id="1112" name="Check Box 88" descr="AL"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4470605" y="3027106"/>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PA</a:t>
                </a:r>
              </a:p>
            </xdr:txBody>
          </xdr:sp>
          <xdr:sp macro="" textlink="">
            <xdr:nvSpPr>
              <xdr:cNvPr id="1113" name="Check Box 89" descr="AL"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4470605" y="3318694"/>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RI</a:t>
                </a:r>
              </a:p>
            </xdr:txBody>
          </xdr:sp>
          <xdr:sp macro="" textlink="">
            <xdr:nvSpPr>
              <xdr:cNvPr id="1114" name="Check Box 90" descr="AL"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4470605" y="359491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SC</a:t>
                </a:r>
              </a:p>
            </xdr:txBody>
          </xdr:sp>
          <xdr:sp macro="" textlink="">
            <xdr:nvSpPr>
              <xdr:cNvPr id="1115" name="Check Box 91" descr="AL"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4470605" y="3890194"/>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SD</a:t>
                </a:r>
              </a:p>
            </xdr:txBody>
          </xdr:sp>
          <xdr:sp macro="" textlink="">
            <xdr:nvSpPr>
              <xdr:cNvPr id="1116" name="Check Box 92" descr="AL"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4470605" y="418178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TN</a:t>
                </a:r>
              </a:p>
            </xdr:txBody>
          </xdr:sp>
          <xdr:sp macro="" textlink="">
            <xdr:nvSpPr>
              <xdr:cNvPr id="1117" name="Check Box 93" descr="AL"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4470605" y="4467532"/>
                <a:ext cx="914400" cy="26670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TX</a:t>
                </a:r>
              </a:p>
            </xdr:txBody>
          </xdr:sp>
          <xdr:sp macro="" textlink="">
            <xdr:nvSpPr>
              <xdr:cNvPr id="1118" name="Check Box 94" descr="AL"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4470605" y="4747753"/>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UT</a:t>
                </a:r>
              </a:p>
            </xdr:txBody>
          </xdr:sp>
          <xdr:sp macro="" textlink="">
            <xdr:nvSpPr>
              <xdr:cNvPr id="1119" name="Check Box 95" descr="AL"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4470605" y="503933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VT</a:t>
                </a:r>
              </a:p>
            </xdr:txBody>
          </xdr:sp>
          <xdr:sp macro="" textlink="">
            <xdr:nvSpPr>
              <xdr:cNvPr id="1120" name="Check Box 96" descr="AL"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4470605" y="5332771"/>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VA</a:t>
                </a:r>
              </a:p>
            </xdr:txBody>
          </xdr:sp>
          <xdr:sp macro="" textlink="">
            <xdr:nvSpPr>
              <xdr:cNvPr id="1122" name="Check Box 98" descr="AL"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4470605" y="5620979"/>
                <a:ext cx="914400" cy="276225"/>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WV</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18</xdr:row>
          <xdr:rowOff>9525</xdr:rowOff>
        </xdr:from>
        <xdr:to>
          <xdr:col>9</xdr:col>
          <xdr:colOff>390525</xdr:colOff>
          <xdr:row>19</xdr:row>
          <xdr:rowOff>133350</xdr:rowOff>
        </xdr:to>
        <xdr:sp macro="" textlink="">
          <xdr:nvSpPr>
            <xdr:cNvPr id="1142" name="Check Box 118" descr="AL"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NY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1087121</xdr:colOff>
      <xdr:row>0</xdr:row>
      <xdr:rowOff>146472</xdr:rowOff>
    </xdr:from>
    <xdr:to>
      <xdr:col>8</xdr:col>
      <xdr:colOff>2889250</xdr:colOff>
      <xdr:row>0</xdr:row>
      <xdr:rowOff>597951</xdr:rowOff>
    </xdr:to>
    <xdr:pic>
      <xdr:nvPicPr>
        <xdr:cNvPr id="3" name="Picture 2" descr="logo.gif">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stretch>
          <a:fillRect/>
        </a:stretch>
      </xdr:blipFill>
      <xdr:spPr>
        <a:xfrm>
          <a:off x="10760288" y="146472"/>
          <a:ext cx="1802129" cy="4514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77258</xdr:colOff>
          <xdr:row>7</xdr:row>
          <xdr:rowOff>190501</xdr:rowOff>
        </xdr:from>
        <xdr:to>
          <xdr:col>4</xdr:col>
          <xdr:colOff>639233</xdr:colOff>
          <xdr:row>8</xdr:row>
          <xdr:rowOff>222250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945341" y="1598084"/>
              <a:ext cx="1419225" cy="232833"/>
              <a:chOff x="3105224" y="1609725"/>
              <a:chExt cx="1381125" cy="209550"/>
            </a:xfrm>
          </xdr:grpSpPr>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3105224"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3705299"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RENEWAL</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658283</xdr:colOff>
          <xdr:row>11</xdr:row>
          <xdr:rowOff>190501</xdr:rowOff>
        </xdr:from>
        <xdr:to>
          <xdr:col>5</xdr:col>
          <xdr:colOff>420158</xdr:colOff>
          <xdr:row>12</xdr:row>
          <xdr:rowOff>201083</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3526366" y="2455334"/>
              <a:ext cx="1391709" cy="211666"/>
              <a:chOff x="3305170" y="2447925"/>
              <a:chExt cx="1400174" cy="209550"/>
            </a:xfrm>
          </xdr:grpSpPr>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330517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392429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448733</xdr:colOff>
          <xdr:row>12</xdr:row>
          <xdr:rowOff>201083</xdr:rowOff>
        </xdr:from>
        <xdr:to>
          <xdr:col>8</xdr:col>
          <xdr:colOff>343958</xdr:colOff>
          <xdr:row>13</xdr:row>
          <xdr:rowOff>201084</xdr:rowOff>
        </xdr:to>
        <xdr:grpSp>
          <xdr:nvGrpSpPr>
            <xdr:cNvPr id="9" name="Group 8">
              <a:extLst>
                <a:ext uri="{FF2B5EF4-FFF2-40B4-BE49-F238E27FC236}">
                  <a16:creationId xmlns:a16="http://schemas.microsoft.com/office/drawing/2014/main" id="{00000000-0008-0000-0400-000009000000}"/>
                </a:ext>
              </a:extLst>
            </xdr:cNvPr>
            <xdr:cNvGrpSpPr/>
          </xdr:nvGrpSpPr>
          <xdr:grpSpPr>
            <a:xfrm>
              <a:off x="5899150" y="2667000"/>
              <a:ext cx="1408641" cy="211667"/>
              <a:chOff x="3305132" y="2447925"/>
              <a:chExt cx="1400177" cy="209550"/>
            </a:xfrm>
          </xdr:grpSpPr>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667808</xdr:colOff>
          <xdr:row>14</xdr:row>
          <xdr:rowOff>151342</xdr:rowOff>
        </xdr:from>
        <xdr:to>
          <xdr:col>5</xdr:col>
          <xdr:colOff>429683</xdr:colOff>
          <xdr:row>15</xdr:row>
          <xdr:rowOff>170392</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3535891" y="3040592"/>
              <a:ext cx="1391709" cy="209550"/>
              <a:chOff x="3305170" y="2447925"/>
              <a:chExt cx="1400174" cy="209550"/>
            </a:xfrm>
          </xdr:grpSpPr>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3305170"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392429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439208</xdr:colOff>
          <xdr:row>15</xdr:row>
          <xdr:rowOff>189442</xdr:rowOff>
        </xdr:from>
        <xdr:to>
          <xdr:col>8</xdr:col>
          <xdr:colOff>334433</xdr:colOff>
          <xdr:row>16</xdr:row>
          <xdr:rowOff>190501</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5889625" y="3269192"/>
              <a:ext cx="1408641" cy="202142"/>
              <a:chOff x="3305132" y="2447925"/>
              <a:chExt cx="1400177" cy="209550"/>
            </a:xfrm>
          </xdr:grpSpPr>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6</xdr:col>
          <xdr:colOff>433916</xdr:colOff>
          <xdr:row>46</xdr:row>
          <xdr:rowOff>74083</xdr:rowOff>
        </xdr:from>
        <xdr:to>
          <xdr:col>8</xdr:col>
          <xdr:colOff>329141</xdr:colOff>
          <xdr:row>47</xdr:row>
          <xdr:rowOff>95250</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a:off x="5884333" y="12223750"/>
              <a:ext cx="1408641" cy="211667"/>
              <a:chOff x="3305132" y="2447925"/>
              <a:chExt cx="1400177" cy="209550"/>
            </a:xfrm>
          </xdr:grpSpPr>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814916</xdr:colOff>
          <xdr:row>48</xdr:row>
          <xdr:rowOff>137583</xdr:rowOff>
        </xdr:from>
        <xdr:to>
          <xdr:col>5</xdr:col>
          <xdr:colOff>593723</xdr:colOff>
          <xdr:row>49</xdr:row>
          <xdr:rowOff>158750</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3682999" y="12689416"/>
              <a:ext cx="1408641" cy="211667"/>
              <a:chOff x="3305132" y="2447925"/>
              <a:chExt cx="1400177" cy="209550"/>
            </a:xfrm>
          </xdr:grpSpPr>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400-000016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899582</xdr:colOff>
          <xdr:row>49</xdr:row>
          <xdr:rowOff>190501</xdr:rowOff>
        </xdr:from>
        <xdr:to>
          <xdr:col>7</xdr:col>
          <xdr:colOff>456140</xdr:colOff>
          <xdr:row>50</xdr:row>
          <xdr:rowOff>190501</xdr:rowOff>
        </xdr:to>
        <xdr:grpSp>
          <xdr:nvGrpSpPr>
            <xdr:cNvPr id="32" name="Group 31">
              <a:extLst>
                <a:ext uri="{FF2B5EF4-FFF2-40B4-BE49-F238E27FC236}">
                  <a16:creationId xmlns:a16="http://schemas.microsoft.com/office/drawing/2014/main" id="{00000000-0008-0000-0400-000020000000}"/>
                </a:ext>
              </a:extLst>
            </xdr:cNvPr>
            <xdr:cNvGrpSpPr/>
          </xdr:nvGrpSpPr>
          <xdr:grpSpPr>
            <a:xfrm>
              <a:off x="5397499" y="12932834"/>
              <a:ext cx="1408641" cy="211667"/>
              <a:chOff x="3305132" y="2447925"/>
              <a:chExt cx="1400177" cy="209550"/>
            </a:xfrm>
          </xdr:grpSpPr>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330513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400-000018180000}"/>
                  </a:ext>
                </a:extLst>
              </xdr:cNvPr>
              <xdr:cNvSpPr/>
            </xdr:nvSpPr>
            <xdr:spPr bwMode="auto">
              <a:xfrm>
                <a:off x="392425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13</xdr:row>
          <xdr:rowOff>232834</xdr:rowOff>
        </xdr:from>
        <xdr:to>
          <xdr:col>4</xdr:col>
          <xdr:colOff>672041</xdr:colOff>
          <xdr:row>14</xdr:row>
          <xdr:rowOff>201084</xdr:rowOff>
        </xdr:to>
        <xdr:grpSp>
          <xdr:nvGrpSpPr>
            <xdr:cNvPr id="5" name="Group 4">
              <a:extLst>
                <a:ext uri="{FF2B5EF4-FFF2-40B4-BE49-F238E27FC236}">
                  <a16:creationId xmlns:a16="http://schemas.microsoft.com/office/drawing/2014/main" id="{00000000-0008-0000-1C00-000005000000}"/>
                </a:ext>
              </a:extLst>
            </xdr:cNvPr>
            <xdr:cNvGrpSpPr/>
          </xdr:nvGrpSpPr>
          <xdr:grpSpPr>
            <a:xfrm>
              <a:off x="4021667" y="3312584"/>
              <a:ext cx="1391707" cy="275167"/>
              <a:chOff x="3305187" y="2447925"/>
              <a:chExt cx="1400177" cy="209550"/>
            </a:xfrm>
          </xdr:grpSpPr>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1C00-000003840000}"/>
                  </a:ext>
                </a:extLst>
              </xdr:cNvPr>
              <xdr:cNvSpPr/>
            </xdr:nvSpPr>
            <xdr:spPr bwMode="auto">
              <a:xfrm>
                <a:off x="330518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1C00-000004840000}"/>
                  </a:ext>
                </a:extLst>
              </xdr:cNvPr>
              <xdr:cNvSpPr/>
            </xdr:nvSpPr>
            <xdr:spPr bwMode="auto">
              <a:xfrm>
                <a:off x="3924314"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190499</xdr:colOff>
          <xdr:row>16</xdr:row>
          <xdr:rowOff>169333</xdr:rowOff>
        </xdr:from>
        <xdr:to>
          <xdr:col>5</xdr:col>
          <xdr:colOff>555624</xdr:colOff>
          <xdr:row>17</xdr:row>
          <xdr:rowOff>137583</xdr:rowOff>
        </xdr:to>
        <xdr:grpSp>
          <xdr:nvGrpSpPr>
            <xdr:cNvPr id="11" name="Group 10">
              <a:extLst>
                <a:ext uri="{FF2B5EF4-FFF2-40B4-BE49-F238E27FC236}">
                  <a16:creationId xmlns:a16="http://schemas.microsoft.com/office/drawing/2014/main" id="{00000000-0008-0000-1C00-00000B000000}"/>
                </a:ext>
              </a:extLst>
            </xdr:cNvPr>
            <xdr:cNvGrpSpPr/>
          </xdr:nvGrpSpPr>
          <xdr:grpSpPr>
            <a:xfrm>
              <a:off x="4931832" y="4106333"/>
              <a:ext cx="1391709" cy="211667"/>
              <a:chOff x="3305152" y="2447925"/>
              <a:chExt cx="1400173" cy="209550"/>
            </a:xfrm>
          </xdr:grpSpPr>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1C00-000007840000}"/>
                  </a:ext>
                </a:extLst>
              </xdr:cNvPr>
              <xdr:cNvSpPr/>
            </xdr:nvSpPr>
            <xdr:spPr bwMode="auto">
              <a:xfrm>
                <a:off x="330515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1C00-000008840000}"/>
                  </a:ext>
                </a:extLst>
              </xdr:cNvPr>
              <xdr:cNvSpPr/>
            </xdr:nvSpPr>
            <xdr:spPr bwMode="auto">
              <a:xfrm>
                <a:off x="392427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275166</xdr:colOff>
          <xdr:row>13</xdr:row>
          <xdr:rowOff>10584</xdr:rowOff>
        </xdr:from>
        <xdr:to>
          <xdr:col>5</xdr:col>
          <xdr:colOff>37040</xdr:colOff>
          <xdr:row>13</xdr:row>
          <xdr:rowOff>285751</xdr:rowOff>
        </xdr:to>
        <xdr:grpSp>
          <xdr:nvGrpSpPr>
            <xdr:cNvPr id="2" name="Group 1">
              <a:extLst>
                <a:ext uri="{FF2B5EF4-FFF2-40B4-BE49-F238E27FC236}">
                  <a16:creationId xmlns:a16="http://schemas.microsoft.com/office/drawing/2014/main" id="{00000000-0008-0000-1E00-000002000000}"/>
                </a:ext>
              </a:extLst>
            </xdr:cNvPr>
            <xdr:cNvGrpSpPr/>
          </xdr:nvGrpSpPr>
          <xdr:grpSpPr>
            <a:xfrm>
              <a:off x="3450166" y="3100917"/>
              <a:ext cx="1391707" cy="275167"/>
              <a:chOff x="3305102" y="2447925"/>
              <a:chExt cx="1400176" cy="209550"/>
            </a:xfrm>
          </xdr:grpSpPr>
          <xdr:sp macro="" textlink="">
            <xdr:nvSpPr>
              <xdr:cNvPr id="35842" name="Check Box 2" hidden="1">
                <a:extLst>
                  <a:ext uri="{63B3BB69-23CF-44E3-9099-C40C66FF867C}">
                    <a14:compatExt spid="_x0000_s35842"/>
                  </a:ext>
                  <a:ext uri="{FF2B5EF4-FFF2-40B4-BE49-F238E27FC236}">
                    <a16:creationId xmlns:a16="http://schemas.microsoft.com/office/drawing/2014/main" id="{00000000-0008-0000-1E00-0000028C0000}"/>
                  </a:ext>
                </a:extLst>
              </xdr:cNvPr>
              <xdr:cNvSpPr/>
            </xdr:nvSpPr>
            <xdr:spPr bwMode="auto">
              <a:xfrm>
                <a:off x="330510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5843" name="Check Box 3" hidden="1">
                <a:extLst>
                  <a:ext uri="{63B3BB69-23CF-44E3-9099-C40C66FF867C}">
                    <a14:compatExt spid="_x0000_s35843"/>
                  </a:ext>
                  <a:ext uri="{FF2B5EF4-FFF2-40B4-BE49-F238E27FC236}">
                    <a16:creationId xmlns:a16="http://schemas.microsoft.com/office/drawing/2014/main" id="{00000000-0008-0000-1E00-0000038C0000}"/>
                  </a:ext>
                </a:extLst>
              </xdr:cNvPr>
              <xdr:cNvSpPr/>
            </xdr:nvSpPr>
            <xdr:spPr bwMode="auto">
              <a:xfrm>
                <a:off x="392422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656166</xdr:colOff>
          <xdr:row>15</xdr:row>
          <xdr:rowOff>222251</xdr:rowOff>
        </xdr:from>
        <xdr:to>
          <xdr:col>5</xdr:col>
          <xdr:colOff>418040</xdr:colOff>
          <xdr:row>16</xdr:row>
          <xdr:rowOff>254001</xdr:rowOff>
        </xdr:to>
        <xdr:grpSp>
          <xdr:nvGrpSpPr>
            <xdr:cNvPr id="5" name="Group 4">
              <a:extLst>
                <a:ext uri="{FF2B5EF4-FFF2-40B4-BE49-F238E27FC236}">
                  <a16:creationId xmlns:a16="http://schemas.microsoft.com/office/drawing/2014/main" id="{00000000-0008-0000-1E00-000005000000}"/>
                </a:ext>
              </a:extLst>
            </xdr:cNvPr>
            <xdr:cNvGrpSpPr/>
          </xdr:nvGrpSpPr>
          <xdr:grpSpPr>
            <a:xfrm>
              <a:off x="3831166" y="3947584"/>
              <a:ext cx="1391707" cy="275167"/>
              <a:chOff x="3305102" y="2447925"/>
              <a:chExt cx="1400176" cy="209550"/>
            </a:xfrm>
          </xdr:grpSpPr>
          <xdr:sp macro="" textlink="">
            <xdr:nvSpPr>
              <xdr:cNvPr id="35844" name="Check Box 4" hidden="1">
                <a:extLst>
                  <a:ext uri="{63B3BB69-23CF-44E3-9099-C40C66FF867C}">
                    <a14:compatExt spid="_x0000_s35844"/>
                  </a:ext>
                  <a:ext uri="{FF2B5EF4-FFF2-40B4-BE49-F238E27FC236}">
                    <a16:creationId xmlns:a16="http://schemas.microsoft.com/office/drawing/2014/main" id="{00000000-0008-0000-1E00-0000048C0000}"/>
                  </a:ext>
                </a:extLst>
              </xdr:cNvPr>
              <xdr:cNvSpPr/>
            </xdr:nvSpPr>
            <xdr:spPr bwMode="auto">
              <a:xfrm>
                <a:off x="330510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1E00-0000058C0000}"/>
                  </a:ext>
                </a:extLst>
              </xdr:cNvPr>
              <xdr:cNvSpPr/>
            </xdr:nvSpPr>
            <xdr:spPr bwMode="auto">
              <a:xfrm>
                <a:off x="392422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137584</xdr:colOff>
          <xdr:row>12</xdr:row>
          <xdr:rowOff>10583</xdr:rowOff>
        </xdr:from>
        <xdr:to>
          <xdr:col>4</xdr:col>
          <xdr:colOff>672041</xdr:colOff>
          <xdr:row>12</xdr:row>
          <xdr:rowOff>285750</xdr:rowOff>
        </xdr:to>
        <xdr:grpSp>
          <xdr:nvGrpSpPr>
            <xdr:cNvPr id="5" name="Group 4">
              <a:extLst>
                <a:ext uri="{FF2B5EF4-FFF2-40B4-BE49-F238E27FC236}">
                  <a16:creationId xmlns:a16="http://schemas.microsoft.com/office/drawing/2014/main" id="{00000000-0008-0000-2100-000005000000}"/>
                </a:ext>
              </a:extLst>
            </xdr:cNvPr>
            <xdr:cNvGrpSpPr/>
          </xdr:nvGrpSpPr>
          <xdr:grpSpPr>
            <a:xfrm>
              <a:off x="3312584" y="2751666"/>
              <a:ext cx="1391707" cy="275167"/>
              <a:chOff x="3305102" y="2447925"/>
              <a:chExt cx="1400176" cy="209550"/>
            </a:xfrm>
          </xdr:grpSpPr>
          <xdr:sp macro="" textlink="">
            <xdr:nvSpPr>
              <xdr:cNvPr id="37891" name="Check Box 3" hidden="1">
                <a:extLst>
                  <a:ext uri="{63B3BB69-23CF-44E3-9099-C40C66FF867C}">
                    <a14:compatExt spid="_x0000_s37891"/>
                  </a:ext>
                  <a:ext uri="{FF2B5EF4-FFF2-40B4-BE49-F238E27FC236}">
                    <a16:creationId xmlns:a16="http://schemas.microsoft.com/office/drawing/2014/main" id="{00000000-0008-0000-2100-000003940000}"/>
                  </a:ext>
                </a:extLst>
              </xdr:cNvPr>
              <xdr:cNvSpPr/>
            </xdr:nvSpPr>
            <xdr:spPr bwMode="auto">
              <a:xfrm>
                <a:off x="3305102"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37892" name="Check Box 4" hidden="1">
                <a:extLst>
                  <a:ext uri="{63B3BB69-23CF-44E3-9099-C40C66FF867C}">
                    <a14:compatExt spid="_x0000_s37892"/>
                  </a:ext>
                  <a:ext uri="{FF2B5EF4-FFF2-40B4-BE49-F238E27FC236}">
                    <a16:creationId xmlns:a16="http://schemas.microsoft.com/office/drawing/2014/main" id="{00000000-0008-0000-2100-000004940000}"/>
                  </a:ext>
                </a:extLst>
              </xdr:cNvPr>
              <xdr:cNvSpPr/>
            </xdr:nvSpPr>
            <xdr:spPr bwMode="auto">
              <a:xfrm>
                <a:off x="392422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698500</xdr:colOff>
          <xdr:row>10</xdr:row>
          <xdr:rowOff>10583</xdr:rowOff>
        </xdr:from>
        <xdr:to>
          <xdr:col>7</xdr:col>
          <xdr:colOff>1112309</xdr:colOff>
          <xdr:row>10</xdr:row>
          <xdr:rowOff>222249</xdr:rowOff>
        </xdr:to>
        <xdr:grpSp>
          <xdr:nvGrpSpPr>
            <xdr:cNvPr id="5" name="Group 4">
              <a:extLst>
                <a:ext uri="{FF2B5EF4-FFF2-40B4-BE49-F238E27FC236}">
                  <a16:creationId xmlns:a16="http://schemas.microsoft.com/office/drawing/2014/main" id="{00000000-0008-0000-2500-000005000000}"/>
                </a:ext>
              </a:extLst>
            </xdr:cNvPr>
            <xdr:cNvGrpSpPr/>
          </xdr:nvGrpSpPr>
          <xdr:grpSpPr>
            <a:xfrm>
              <a:off x="6720417" y="2159000"/>
              <a:ext cx="1419225" cy="211666"/>
              <a:chOff x="3105118" y="1609725"/>
              <a:chExt cx="1381124" cy="209550"/>
            </a:xfrm>
          </xdr:grpSpPr>
          <xdr:sp macro="" textlink="">
            <xdr:nvSpPr>
              <xdr:cNvPr id="41988" name="Check Box 4" hidden="1">
                <a:extLst>
                  <a:ext uri="{63B3BB69-23CF-44E3-9099-C40C66FF867C}">
                    <a14:compatExt spid="_x0000_s41988"/>
                  </a:ext>
                  <a:ext uri="{FF2B5EF4-FFF2-40B4-BE49-F238E27FC236}">
                    <a16:creationId xmlns:a16="http://schemas.microsoft.com/office/drawing/2014/main" id="{00000000-0008-0000-2500-000004A40000}"/>
                  </a:ext>
                </a:extLst>
              </xdr:cNvPr>
              <xdr:cNvSpPr/>
            </xdr:nvSpPr>
            <xdr:spPr bwMode="auto">
              <a:xfrm>
                <a:off x="3105118"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989" name="Check Box 5" hidden="1">
                <a:extLst>
                  <a:ext uri="{63B3BB69-23CF-44E3-9099-C40C66FF867C}">
                    <a14:compatExt spid="_x0000_s41989"/>
                  </a:ext>
                  <a:ext uri="{FF2B5EF4-FFF2-40B4-BE49-F238E27FC236}">
                    <a16:creationId xmlns:a16="http://schemas.microsoft.com/office/drawing/2014/main" id="{00000000-0008-0000-2500-000005A40000}"/>
                  </a:ext>
                </a:extLst>
              </xdr:cNvPr>
              <xdr:cNvSpPr/>
            </xdr:nvSpPr>
            <xdr:spPr bwMode="auto">
              <a:xfrm>
                <a:off x="3705192" y="16097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RENEWAL</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126999</xdr:colOff>
          <xdr:row>16</xdr:row>
          <xdr:rowOff>169334</xdr:rowOff>
        </xdr:from>
        <xdr:to>
          <xdr:col>5</xdr:col>
          <xdr:colOff>202140</xdr:colOff>
          <xdr:row>17</xdr:row>
          <xdr:rowOff>190500</xdr:rowOff>
        </xdr:to>
        <xdr:grpSp>
          <xdr:nvGrpSpPr>
            <xdr:cNvPr id="8" name="Group 7">
              <a:extLst>
                <a:ext uri="{FF2B5EF4-FFF2-40B4-BE49-F238E27FC236}">
                  <a16:creationId xmlns:a16="http://schemas.microsoft.com/office/drawing/2014/main" id="{00000000-0008-0000-2500-000008000000}"/>
                </a:ext>
              </a:extLst>
            </xdr:cNvPr>
            <xdr:cNvGrpSpPr/>
          </xdr:nvGrpSpPr>
          <xdr:grpSpPr>
            <a:xfrm>
              <a:off x="3968749" y="3958167"/>
              <a:ext cx="1408641" cy="211666"/>
              <a:chOff x="3305247" y="2447925"/>
              <a:chExt cx="1400172" cy="209550"/>
            </a:xfrm>
          </xdr:grpSpPr>
          <xdr:sp macro="" textlink="">
            <xdr:nvSpPr>
              <xdr:cNvPr id="41990" name="Check Box 6" hidden="1">
                <a:extLst>
                  <a:ext uri="{63B3BB69-23CF-44E3-9099-C40C66FF867C}">
                    <a14:compatExt spid="_x0000_s41990"/>
                  </a:ext>
                  <a:ext uri="{FF2B5EF4-FFF2-40B4-BE49-F238E27FC236}">
                    <a16:creationId xmlns:a16="http://schemas.microsoft.com/office/drawing/2014/main" id="{00000000-0008-0000-2500-000006A40000}"/>
                  </a:ext>
                </a:extLst>
              </xdr:cNvPr>
              <xdr:cNvSpPr/>
            </xdr:nvSpPr>
            <xdr:spPr bwMode="auto">
              <a:xfrm>
                <a:off x="3305247"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1991" name="Check Box 7" hidden="1">
                <a:extLst>
                  <a:ext uri="{63B3BB69-23CF-44E3-9099-C40C66FF867C}">
                    <a14:compatExt spid="_x0000_s41991"/>
                  </a:ext>
                  <a:ext uri="{FF2B5EF4-FFF2-40B4-BE49-F238E27FC236}">
                    <a16:creationId xmlns:a16="http://schemas.microsoft.com/office/drawing/2014/main" id="{00000000-0008-0000-2500-000007A40000}"/>
                  </a:ext>
                </a:extLst>
              </xdr:cNvPr>
              <xdr:cNvSpPr/>
            </xdr:nvSpPr>
            <xdr:spPr bwMode="auto">
              <a:xfrm>
                <a:off x="3924369"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42333</xdr:colOff>
          <xdr:row>13</xdr:row>
          <xdr:rowOff>10583</xdr:rowOff>
        </xdr:from>
        <xdr:to>
          <xdr:col>5</xdr:col>
          <xdr:colOff>11641</xdr:colOff>
          <xdr:row>13</xdr:row>
          <xdr:rowOff>222249</xdr:rowOff>
        </xdr:to>
        <xdr:grpSp>
          <xdr:nvGrpSpPr>
            <xdr:cNvPr id="2" name="Group 1">
              <a:extLst>
                <a:ext uri="{FF2B5EF4-FFF2-40B4-BE49-F238E27FC236}">
                  <a16:creationId xmlns:a16="http://schemas.microsoft.com/office/drawing/2014/main" id="{00000000-0008-0000-2900-000002000000}"/>
                </a:ext>
              </a:extLst>
            </xdr:cNvPr>
            <xdr:cNvGrpSpPr/>
          </xdr:nvGrpSpPr>
          <xdr:grpSpPr>
            <a:xfrm>
              <a:off x="4381500" y="2963333"/>
              <a:ext cx="1408641" cy="211666"/>
              <a:chOff x="3305198" y="2447925"/>
              <a:chExt cx="1400167" cy="209550"/>
            </a:xfrm>
          </xdr:grpSpPr>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2900-000002B40000}"/>
                  </a:ext>
                </a:extLst>
              </xdr:cNvPr>
              <xdr:cNvSpPr/>
            </xdr:nvSpPr>
            <xdr:spPr bwMode="auto">
              <a:xfrm>
                <a:off x="330519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2900-000003B40000}"/>
                  </a:ext>
                </a:extLst>
              </xdr:cNvPr>
              <xdr:cNvSpPr/>
            </xdr:nvSpPr>
            <xdr:spPr bwMode="auto">
              <a:xfrm>
                <a:off x="392431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42333</xdr:colOff>
          <xdr:row>15</xdr:row>
          <xdr:rowOff>31750</xdr:rowOff>
        </xdr:from>
        <xdr:to>
          <xdr:col>5</xdr:col>
          <xdr:colOff>11641</xdr:colOff>
          <xdr:row>15</xdr:row>
          <xdr:rowOff>243416</xdr:rowOff>
        </xdr:to>
        <xdr:grpSp>
          <xdr:nvGrpSpPr>
            <xdr:cNvPr id="5" name="Group 4">
              <a:extLst>
                <a:ext uri="{FF2B5EF4-FFF2-40B4-BE49-F238E27FC236}">
                  <a16:creationId xmlns:a16="http://schemas.microsoft.com/office/drawing/2014/main" id="{00000000-0008-0000-2900-000005000000}"/>
                </a:ext>
              </a:extLst>
            </xdr:cNvPr>
            <xdr:cNvGrpSpPr/>
          </xdr:nvGrpSpPr>
          <xdr:grpSpPr>
            <a:xfrm>
              <a:off x="4381500" y="3481917"/>
              <a:ext cx="1408641" cy="211666"/>
              <a:chOff x="3305198" y="2447925"/>
              <a:chExt cx="1400167" cy="209550"/>
            </a:xfrm>
          </xdr:grpSpPr>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2900-000004B40000}"/>
                  </a:ext>
                </a:extLst>
              </xdr:cNvPr>
              <xdr:cNvSpPr/>
            </xdr:nvSpPr>
            <xdr:spPr bwMode="auto">
              <a:xfrm>
                <a:off x="3305198"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2900-000005B40000}"/>
                  </a:ext>
                </a:extLst>
              </xdr:cNvPr>
              <xdr:cNvSpPr/>
            </xdr:nvSpPr>
            <xdr:spPr bwMode="auto">
              <a:xfrm>
                <a:off x="3924315" y="2447925"/>
                <a:ext cx="78105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grpSp>
        <xdr:clientData/>
      </xdr:twoCellAnchor>
    </mc:Choice>
    <mc:Fallback/>
  </mc:AlternateContent>
</xdr:wsDr>
</file>

<file path=xl/theme/theme1.xml><?xml version="1.0" encoding="utf-8"?>
<a:theme xmlns:a="http://schemas.openxmlformats.org/drawingml/2006/main" name="Office Theme">
  <a:themeElements>
    <a:clrScheme name="Custom 1">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ncci.com/nccimain/pages/default.aspx" TargetMode="External"/><Relationship Id="rId18" Type="http://schemas.openxmlformats.org/officeDocument/2006/relationships/hyperlink" Target="https://www.ncci.com/nccimain/pages/default.aspx" TargetMode="External"/><Relationship Id="rId26" Type="http://schemas.openxmlformats.org/officeDocument/2006/relationships/hyperlink" Target="https://www.ncci.com/nccimain/pages/default.aspx" TargetMode="External"/><Relationship Id="rId39" Type="http://schemas.openxmlformats.org/officeDocument/2006/relationships/hyperlink" Target="http://www.pcrb.com/" TargetMode="External"/><Relationship Id="rId3" Type="http://schemas.openxmlformats.org/officeDocument/2006/relationships/hyperlink" Target="https://www.ncci.com/nccimain/pages/default.aspx" TargetMode="External"/><Relationship Id="rId21" Type="http://schemas.openxmlformats.org/officeDocument/2006/relationships/hyperlink" Target="https://www.ncci.com/nccimain/pages/default.aspx" TargetMode="External"/><Relationship Id="rId34" Type="http://schemas.openxmlformats.org/officeDocument/2006/relationships/hyperlink" Target="http://www.ncrb.org/ncorg/" TargetMode="External"/><Relationship Id="rId42" Type="http://schemas.openxmlformats.org/officeDocument/2006/relationships/hyperlink" Target="https://www.ncci.com/nccimain/pages/default.aspx" TargetMode="External"/><Relationship Id="rId47" Type="http://schemas.openxmlformats.org/officeDocument/2006/relationships/hyperlink" Target="https://www.ncci.com/nccimain/pages/default.aspx" TargetMode="External"/><Relationship Id="rId50" Type="http://schemas.openxmlformats.org/officeDocument/2006/relationships/hyperlink" Target="https://www.wcrb.org/wcrb/wcrbhome.htm" TargetMode="External"/><Relationship Id="rId7" Type="http://schemas.openxmlformats.org/officeDocument/2006/relationships/hyperlink" Target="https://www.ncci.com/nccimain/pages/default.aspx" TargetMode="External"/><Relationship Id="rId12" Type="http://schemas.openxmlformats.org/officeDocument/2006/relationships/hyperlink" Target="https://www.ncci.com/nccimain/pages/default.aspx" TargetMode="External"/><Relationship Id="rId17" Type="http://schemas.openxmlformats.org/officeDocument/2006/relationships/hyperlink" Target="https://www.ncci.com/nccimain/pages/default.aspx" TargetMode="External"/><Relationship Id="rId25" Type="http://schemas.openxmlformats.org/officeDocument/2006/relationships/hyperlink" Target="https://www.ncci.com/nccimain/pages/default.aspx" TargetMode="External"/><Relationship Id="rId33" Type="http://schemas.openxmlformats.org/officeDocument/2006/relationships/hyperlink" Target="https://www.ncci.com/nccimain/pages/default.aspx" TargetMode="External"/><Relationship Id="rId38" Type="http://schemas.openxmlformats.org/officeDocument/2006/relationships/hyperlink" Target="https://www.ncci.com/nccimain/pages/default.aspx" TargetMode="External"/><Relationship Id="rId46" Type="http://schemas.openxmlformats.org/officeDocument/2006/relationships/hyperlink" Target="https://www.ncci.com/nccimain/pages/default.aspx" TargetMode="External"/><Relationship Id="rId2" Type="http://schemas.openxmlformats.org/officeDocument/2006/relationships/hyperlink" Target="https://www.ncci.com/nccimain/pages/default.aspx" TargetMode="External"/><Relationship Id="rId16" Type="http://schemas.openxmlformats.org/officeDocument/2006/relationships/hyperlink" Target="https://www.ncci.com/nccimain/pages/default.aspx" TargetMode="External"/><Relationship Id="rId20" Type="http://schemas.openxmlformats.org/officeDocument/2006/relationships/hyperlink" Target="https://www.ncci.com/nccimain/pages/default.aspx" TargetMode="External"/><Relationship Id="rId29" Type="http://schemas.openxmlformats.org/officeDocument/2006/relationships/hyperlink" Target="https://www.ncci.com/nccimain/pages/default.aspx" TargetMode="External"/><Relationship Id="rId41" Type="http://schemas.openxmlformats.org/officeDocument/2006/relationships/hyperlink" Target="https://www.ncci.com/nccimain/pages/default.aspx" TargetMode="External"/><Relationship Id="rId1" Type="http://schemas.openxmlformats.org/officeDocument/2006/relationships/hyperlink" Target="https://www.ncci.com/nccimain/pages/default.aspx" TargetMode="External"/><Relationship Id="rId6" Type="http://schemas.openxmlformats.org/officeDocument/2006/relationships/hyperlink" Target="https://www.ncci.com/nccimain/pages/default.aspx" TargetMode="External"/><Relationship Id="rId11" Type="http://schemas.openxmlformats.org/officeDocument/2006/relationships/hyperlink" Target="https://www.ncci.com/nccimain/pages/default.aspx" TargetMode="External"/><Relationship Id="rId24" Type="http://schemas.openxmlformats.org/officeDocument/2006/relationships/hyperlink" Target="http://www.mwcia.org/" TargetMode="External"/><Relationship Id="rId32" Type="http://schemas.openxmlformats.org/officeDocument/2006/relationships/hyperlink" Target="http://www.nycirb.org/" TargetMode="External"/><Relationship Id="rId37" Type="http://schemas.openxmlformats.org/officeDocument/2006/relationships/hyperlink" Target="https://www.ncci.com/nccimain/pages/default.aspx" TargetMode="External"/><Relationship Id="rId40" Type="http://schemas.openxmlformats.org/officeDocument/2006/relationships/hyperlink" Target="https://www.ncci.com/nccimain/pages/default.aspx" TargetMode="External"/><Relationship Id="rId45" Type="http://schemas.openxmlformats.org/officeDocument/2006/relationships/hyperlink" Target="https://www.ncci.com/nccimain/pages/default.aspx" TargetMode="External"/><Relationship Id="rId53" Type="http://schemas.openxmlformats.org/officeDocument/2006/relationships/drawing" Target="../drawings/drawing2.xml"/><Relationship Id="rId5" Type="http://schemas.openxmlformats.org/officeDocument/2006/relationships/hyperlink" Target="https://wcirbonline.org/wcirb/" TargetMode="External"/><Relationship Id="rId15" Type="http://schemas.openxmlformats.org/officeDocument/2006/relationships/hyperlink" Target="http://www.icrb.net/" TargetMode="External"/><Relationship Id="rId23" Type="http://schemas.openxmlformats.org/officeDocument/2006/relationships/hyperlink" Target="http://www.caom.com/" TargetMode="External"/><Relationship Id="rId28" Type="http://schemas.openxmlformats.org/officeDocument/2006/relationships/hyperlink" Target="https://www.ncci.com/nccimain/pages/default.aspx" TargetMode="External"/><Relationship Id="rId36" Type="http://schemas.openxmlformats.org/officeDocument/2006/relationships/hyperlink" Target="http://www.bwc.state.oh.us/default.aspx" TargetMode="External"/><Relationship Id="rId49" Type="http://schemas.openxmlformats.org/officeDocument/2006/relationships/hyperlink" Target="https://www.ncci.com/nccimain/pages/default.aspx" TargetMode="External"/><Relationship Id="rId10" Type="http://schemas.openxmlformats.org/officeDocument/2006/relationships/hyperlink" Target="https://www.ncci.com/nccimain/pages/default.aspx" TargetMode="External"/><Relationship Id="rId19" Type="http://schemas.openxmlformats.org/officeDocument/2006/relationships/hyperlink" Target="https://www.ncci.com/nccimain/pages/default.aspx" TargetMode="External"/><Relationship Id="rId31" Type="http://schemas.openxmlformats.org/officeDocument/2006/relationships/hyperlink" Target="https://www.ncci.com/nccimain/pages/default.aspx" TargetMode="External"/><Relationship Id="rId44" Type="http://schemas.openxmlformats.org/officeDocument/2006/relationships/hyperlink" Target="http://www.tdi.texas.gov/wc/indexwc.html" TargetMode="External"/><Relationship Id="rId52" Type="http://schemas.openxmlformats.org/officeDocument/2006/relationships/printerSettings" Target="../printerSettings/printerSettings2.bin"/><Relationship Id="rId4" Type="http://schemas.openxmlformats.org/officeDocument/2006/relationships/hyperlink" Target="https://www.ncci.com/nccimain/pages/default.aspx" TargetMode="External"/><Relationship Id="rId9" Type="http://schemas.openxmlformats.org/officeDocument/2006/relationships/hyperlink" Target="https://www.ncci.com/nccimain/pages/default.aspx" TargetMode="External"/><Relationship Id="rId14" Type="http://schemas.openxmlformats.org/officeDocument/2006/relationships/hyperlink" Target="https://www.ncci.com/nccimain/pages/default.aspx" TargetMode="External"/><Relationship Id="rId22" Type="http://schemas.openxmlformats.org/officeDocument/2006/relationships/hyperlink" Target="https://www.wcribma.org/mass/" TargetMode="External"/><Relationship Id="rId27" Type="http://schemas.openxmlformats.org/officeDocument/2006/relationships/hyperlink" Target="https://www.ncci.com/nccimain/pages/default.aspx" TargetMode="External"/><Relationship Id="rId30" Type="http://schemas.openxmlformats.org/officeDocument/2006/relationships/hyperlink" Target="http://www.njcrib.com/" TargetMode="External"/><Relationship Id="rId35" Type="http://schemas.openxmlformats.org/officeDocument/2006/relationships/hyperlink" Target="http://www.workforcesafety.com/" TargetMode="External"/><Relationship Id="rId43" Type="http://schemas.openxmlformats.org/officeDocument/2006/relationships/hyperlink" Target="https://www.ncci.com/nccimain/pages/default.aspx" TargetMode="External"/><Relationship Id="rId48" Type="http://schemas.openxmlformats.org/officeDocument/2006/relationships/hyperlink" Target="http://www.lni.wa.gov/" TargetMode="External"/><Relationship Id="rId8" Type="http://schemas.openxmlformats.org/officeDocument/2006/relationships/hyperlink" Target="http://www.dcrb.com/" TargetMode="External"/><Relationship Id="rId51" Type="http://schemas.openxmlformats.org/officeDocument/2006/relationships/hyperlink" Target="http://doe.wyo.gov/Pages/default.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2.v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3.xml"/><Relationship Id="rId16" Type="http://schemas.openxmlformats.org/officeDocument/2006/relationships/ctrlProp" Target="../ctrlProps/ctrlProp55.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62.xml"/><Relationship Id="rId2" Type="http://schemas.openxmlformats.org/officeDocument/2006/relationships/drawing" Target="../drawings/drawing4.xml"/><Relationship Id="rId1" Type="http://schemas.openxmlformats.org/officeDocument/2006/relationships/printerSettings" Target="../printerSettings/printerSettings29.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66.xml"/><Relationship Id="rId2" Type="http://schemas.openxmlformats.org/officeDocument/2006/relationships/drawing" Target="../drawings/drawing5.xml"/><Relationship Id="rId1" Type="http://schemas.openxmlformats.org/officeDocument/2006/relationships/printerSettings" Target="../printerSettings/printerSettings31.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4.bin"/><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hyperlink" Target="mailto:patsy.mehlhaff@state.sd.us" TargetMode="External"/><Relationship Id="rId7" Type="http://schemas.openxmlformats.org/officeDocument/2006/relationships/vmlDrawing" Target="../drawings/vmlDrawing6.vml"/><Relationship Id="rId2" Type="http://schemas.openxmlformats.org/officeDocument/2006/relationships/hyperlink" Target="mailto:patsy.mehlhaff@state.sd.us" TargetMode="External"/><Relationship Id="rId1" Type="http://schemas.openxmlformats.org/officeDocument/2006/relationships/hyperlink" Target="mailto:patsy.mehlhaff@state.sd.us" TargetMode="External"/><Relationship Id="rId6" Type="http://schemas.openxmlformats.org/officeDocument/2006/relationships/drawing" Target="../drawings/drawing7.xml"/><Relationship Id="rId11" Type="http://schemas.openxmlformats.org/officeDocument/2006/relationships/ctrlProp" Target="../ctrlProps/ctrlProp72.xml"/><Relationship Id="rId5" Type="http://schemas.openxmlformats.org/officeDocument/2006/relationships/printerSettings" Target="../printerSettings/printerSettings38.bin"/><Relationship Id="rId10" Type="http://schemas.openxmlformats.org/officeDocument/2006/relationships/ctrlProp" Target="../ctrlProps/ctrlProp71.xml"/><Relationship Id="rId4" Type="http://schemas.openxmlformats.org/officeDocument/2006/relationships/hyperlink" Target="mailto:patsy.mehlhaff@state.sd.us" TargetMode="External"/><Relationship Id="rId9" Type="http://schemas.openxmlformats.org/officeDocument/2006/relationships/ctrlProp" Target="../ctrlProps/ctrlProp70.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42.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mpanies"/>
  <dimension ref="A1:O47"/>
  <sheetViews>
    <sheetView showGridLines="0" tabSelected="1" topLeftCell="A2" zoomScaleNormal="100" workbookViewId="0">
      <selection activeCell="J6" sqref="J6"/>
    </sheetView>
  </sheetViews>
  <sheetFormatPr defaultRowHeight="15" x14ac:dyDescent="0.25"/>
  <cols>
    <col min="2" max="2" width="8" customWidth="1"/>
    <col min="3" max="3" width="14.7109375" customWidth="1"/>
    <col min="4" max="7" width="12.7109375" customWidth="1"/>
    <col min="8" max="8" width="10.42578125" customWidth="1"/>
    <col min="9" max="12" width="12.140625" customWidth="1"/>
    <col min="15" max="15" width="9.140625" style="393" hidden="1" customWidth="1"/>
  </cols>
  <sheetData>
    <row r="1" spans="1:15" x14ac:dyDescent="0.25">
      <c r="A1" s="22"/>
      <c r="B1" s="22"/>
      <c r="C1" s="22"/>
      <c r="D1" s="22"/>
      <c r="E1" s="22"/>
      <c r="F1" s="22"/>
      <c r="G1" s="22"/>
      <c r="H1" s="22"/>
      <c r="I1" s="22"/>
      <c r="J1" s="22"/>
      <c r="K1" s="22"/>
      <c r="L1" s="22"/>
      <c r="M1" s="22"/>
    </row>
    <row r="2" spans="1:15" ht="84" customHeight="1" x14ac:dyDescent="0.25">
      <c r="A2" s="22"/>
      <c r="B2" s="238" t="s">
        <v>384</v>
      </c>
      <c r="C2" s="256"/>
      <c r="D2" s="473" t="s">
        <v>416</v>
      </c>
      <c r="E2" s="473"/>
      <c r="F2" s="473"/>
      <c r="G2" s="473"/>
      <c r="H2" s="473"/>
      <c r="I2" s="474"/>
      <c r="J2" s="474"/>
      <c r="K2" s="474"/>
      <c r="L2" s="474"/>
      <c r="M2" s="22"/>
    </row>
    <row r="3" spans="1:15" x14ac:dyDescent="0.25">
      <c r="A3" s="22"/>
      <c r="B3" s="477" t="s">
        <v>385</v>
      </c>
      <c r="C3" s="478"/>
      <c r="D3" s="479"/>
      <c r="E3" s="480"/>
      <c r="F3" s="480"/>
      <c r="G3" s="481"/>
      <c r="H3" s="400" t="s">
        <v>386</v>
      </c>
      <c r="I3" s="484"/>
      <c r="J3" s="485"/>
      <c r="K3" s="485"/>
      <c r="L3" s="486"/>
      <c r="M3" s="22"/>
    </row>
    <row r="4" spans="1:15" x14ac:dyDescent="0.25">
      <c r="A4" s="22"/>
      <c r="B4" s="417" t="s">
        <v>387</v>
      </c>
      <c r="C4" s="418"/>
      <c r="D4" s="475" t="str">
        <f>IFERROR(VLOOKUP(C4,'Additional Info'!E9:F25,2,FALSE),"")</f>
        <v/>
      </c>
      <c r="E4" s="476"/>
      <c r="F4" s="419" t="s">
        <v>388</v>
      </c>
      <c r="G4" s="418"/>
      <c r="H4" s="420" t="s">
        <v>417</v>
      </c>
      <c r="I4" s="421"/>
      <c r="J4" s="422" t="s">
        <v>389</v>
      </c>
      <c r="K4" s="482"/>
      <c r="L4" s="483"/>
      <c r="M4" s="22"/>
    </row>
    <row r="5" spans="1:15" x14ac:dyDescent="0.25">
      <c r="A5" s="22"/>
      <c r="B5" s="239" t="s">
        <v>390</v>
      </c>
      <c r="C5" s="423"/>
      <c r="D5" s="424" t="s">
        <v>392</v>
      </c>
      <c r="E5" s="423"/>
      <c r="F5" s="257" t="s">
        <v>393</v>
      </c>
      <c r="G5" s="462"/>
      <c r="H5" s="463"/>
      <c r="I5" s="259" t="s">
        <v>394</v>
      </c>
      <c r="J5" s="425"/>
      <c r="K5" s="422" t="s">
        <v>391</v>
      </c>
      <c r="L5" s="426"/>
      <c r="M5" s="22"/>
    </row>
    <row r="6" spans="1:15" x14ac:dyDescent="0.25">
      <c r="A6" s="22"/>
      <c r="B6" s="239"/>
      <c r="C6" s="22"/>
      <c r="D6" s="22"/>
      <c r="E6" s="22"/>
      <c r="F6" s="22"/>
      <c r="G6" s="22"/>
      <c r="H6" s="22"/>
      <c r="I6" s="261" t="s">
        <v>397</v>
      </c>
      <c r="J6" s="392"/>
      <c r="K6" s="258" t="s">
        <v>396</v>
      </c>
      <c r="L6" s="427"/>
      <c r="M6" s="22"/>
      <c r="N6" s="454"/>
      <c r="O6" s="455" t="b">
        <v>0</v>
      </c>
    </row>
    <row r="7" spans="1:15" ht="15.75" thickBot="1" x14ac:dyDescent="0.3">
      <c r="A7" s="22"/>
      <c r="B7" s="22"/>
      <c r="C7" s="22"/>
      <c r="D7" s="22"/>
      <c r="E7" s="22"/>
      <c r="F7" s="22"/>
      <c r="G7" s="22"/>
      <c r="H7" s="22"/>
      <c r="I7" s="22"/>
      <c r="J7" s="22"/>
      <c r="K7" s="22"/>
      <c r="L7" s="22"/>
      <c r="M7" s="22"/>
      <c r="N7" s="454"/>
      <c r="O7" s="455" t="b">
        <v>0</v>
      </c>
    </row>
    <row r="8" spans="1:15" x14ac:dyDescent="0.25">
      <c r="A8" s="22"/>
      <c r="B8" s="464" t="s">
        <v>9</v>
      </c>
      <c r="C8" s="465"/>
      <c r="D8" s="465"/>
      <c r="E8" s="466"/>
      <c r="F8" s="22"/>
      <c r="G8" s="22"/>
      <c r="H8" s="22"/>
      <c r="I8" s="22"/>
      <c r="J8" s="22"/>
      <c r="K8" s="22"/>
      <c r="L8" s="22"/>
      <c r="M8" s="22"/>
      <c r="N8" s="454"/>
      <c r="O8" s="455" t="b">
        <v>0</v>
      </c>
    </row>
    <row r="9" spans="1:15" ht="24.95" customHeight="1" x14ac:dyDescent="0.25">
      <c r="A9" s="22"/>
      <c r="B9" s="467" t="s">
        <v>15</v>
      </c>
      <c r="C9" s="468"/>
      <c r="D9" s="468"/>
      <c r="E9" s="469"/>
      <c r="F9" s="22"/>
      <c r="G9" s="22"/>
      <c r="H9" s="22"/>
      <c r="I9" s="22"/>
      <c r="J9" s="22"/>
      <c r="K9" s="22"/>
      <c r="L9" s="22"/>
      <c r="M9" s="22"/>
      <c r="N9" s="454"/>
      <c r="O9" s="455" t="b">
        <v>0</v>
      </c>
    </row>
    <row r="10" spans="1:15" ht="24.95" customHeight="1" x14ac:dyDescent="0.25">
      <c r="A10" s="22"/>
      <c r="B10" s="467" t="s">
        <v>140</v>
      </c>
      <c r="C10" s="468"/>
      <c r="D10" s="468"/>
      <c r="E10" s="469"/>
      <c r="F10" s="22"/>
      <c r="G10" s="22"/>
      <c r="H10" s="22"/>
      <c r="I10" s="22"/>
      <c r="J10" s="22"/>
      <c r="K10" s="22"/>
      <c r="L10" s="22"/>
      <c r="M10" s="22"/>
      <c r="N10" s="454"/>
      <c r="O10" s="455" t="b">
        <v>0</v>
      </c>
    </row>
    <row r="11" spans="1:15" ht="24.95" customHeight="1" thickBot="1" x14ac:dyDescent="0.3">
      <c r="A11" s="22"/>
      <c r="B11" s="470" t="s">
        <v>17</v>
      </c>
      <c r="C11" s="471"/>
      <c r="D11" s="471"/>
      <c r="E11" s="472"/>
      <c r="F11" s="22"/>
      <c r="G11" s="22"/>
      <c r="H11" s="22"/>
      <c r="I11" s="22"/>
      <c r="J11" s="22"/>
      <c r="K11" s="22"/>
      <c r="L11" s="22"/>
      <c r="M11" s="22"/>
      <c r="N11" s="454"/>
      <c r="O11" s="455" t="b">
        <v>0</v>
      </c>
    </row>
    <row r="12" spans="1:15" ht="31.5" customHeight="1" x14ac:dyDescent="0.25">
      <c r="A12" s="22"/>
      <c r="B12" s="22"/>
      <c r="C12" s="22"/>
      <c r="D12" s="22"/>
      <c r="E12" s="22"/>
      <c r="F12" s="22"/>
      <c r="G12" s="22"/>
      <c r="H12" s="22"/>
      <c r="I12" s="22"/>
      <c r="J12" s="22"/>
      <c r="K12" s="22"/>
      <c r="L12" s="22"/>
      <c r="M12" s="22"/>
      <c r="N12" s="454"/>
      <c r="O12" s="455" t="b">
        <v>0</v>
      </c>
    </row>
    <row r="13" spans="1:15" x14ac:dyDescent="0.25">
      <c r="A13" s="22"/>
      <c r="B13" s="389"/>
      <c r="C13" s="389" t="s">
        <v>402</v>
      </c>
      <c r="D13" s="22"/>
      <c r="E13" s="22"/>
      <c r="F13" s="22"/>
      <c r="G13" s="22"/>
      <c r="H13" s="22"/>
      <c r="I13" s="22"/>
      <c r="J13" s="22"/>
      <c r="K13" s="22"/>
      <c r="L13" s="22"/>
      <c r="M13" s="22"/>
      <c r="N13" s="454"/>
      <c r="O13" s="455" t="b">
        <v>0</v>
      </c>
    </row>
    <row r="14" spans="1:15" x14ac:dyDescent="0.25">
      <c r="A14" s="22"/>
      <c r="B14" s="22"/>
      <c r="C14" s="22"/>
      <c r="D14" s="22"/>
      <c r="E14" s="22"/>
      <c r="F14" s="22"/>
      <c r="G14" s="22"/>
      <c r="H14" s="22"/>
      <c r="I14" s="22"/>
      <c r="J14" s="22"/>
      <c r="K14" s="22"/>
      <c r="L14" s="22"/>
      <c r="M14" s="22"/>
      <c r="N14" s="454"/>
      <c r="O14" s="455" t="b">
        <v>0</v>
      </c>
    </row>
    <row r="15" spans="1:15" x14ac:dyDescent="0.25">
      <c r="A15" s="22"/>
      <c r="B15" s="22"/>
      <c r="C15" s="22"/>
      <c r="D15" s="22"/>
      <c r="E15" s="22"/>
      <c r="F15" s="22"/>
      <c r="G15" s="22"/>
      <c r="H15" s="22"/>
      <c r="I15" s="22"/>
      <c r="J15" s="22"/>
      <c r="K15" s="22"/>
      <c r="L15" s="22"/>
      <c r="M15" s="22"/>
      <c r="N15" s="454"/>
      <c r="O15" s="455" t="b">
        <v>0</v>
      </c>
    </row>
    <row r="16" spans="1:15" x14ac:dyDescent="0.25">
      <c r="A16" s="22"/>
      <c r="B16" s="22"/>
      <c r="C16" s="22"/>
      <c r="D16" s="22"/>
      <c r="E16" s="22"/>
      <c r="F16" s="22"/>
      <c r="G16" s="22"/>
      <c r="H16" s="22"/>
      <c r="I16" s="22"/>
      <c r="J16" s="22"/>
      <c r="K16" s="22"/>
      <c r="L16" s="22"/>
      <c r="M16" s="22"/>
      <c r="N16" s="454"/>
      <c r="O16" s="455" t="b">
        <v>0</v>
      </c>
    </row>
    <row r="17" spans="1:15" x14ac:dyDescent="0.25">
      <c r="A17" s="22"/>
      <c r="B17" s="22"/>
      <c r="C17" s="22"/>
      <c r="D17" s="22"/>
      <c r="E17" s="22"/>
      <c r="F17" s="22"/>
      <c r="G17" s="22"/>
      <c r="H17" s="22"/>
      <c r="I17" s="22"/>
      <c r="J17" s="22"/>
      <c r="K17" s="22"/>
      <c r="L17" s="22"/>
      <c r="M17" s="22"/>
      <c r="N17" s="454"/>
      <c r="O17" s="455" t="b">
        <v>0</v>
      </c>
    </row>
    <row r="18" spans="1:15" x14ac:dyDescent="0.25">
      <c r="A18" s="22"/>
      <c r="B18" s="22"/>
      <c r="C18" s="22"/>
      <c r="D18" s="22"/>
      <c r="E18" s="22"/>
      <c r="F18" s="22"/>
      <c r="G18" s="22"/>
      <c r="H18" s="22"/>
      <c r="I18" s="22"/>
      <c r="J18" s="22"/>
      <c r="K18" s="22"/>
      <c r="L18" s="22"/>
      <c r="M18" s="22"/>
      <c r="N18" s="454"/>
      <c r="O18" s="455" t="b">
        <v>0</v>
      </c>
    </row>
    <row r="19" spans="1:15" x14ac:dyDescent="0.25">
      <c r="A19" s="22"/>
      <c r="B19" s="22"/>
      <c r="C19" s="22"/>
      <c r="D19" s="22"/>
      <c r="E19" s="22"/>
      <c r="F19" s="22"/>
      <c r="G19" s="22"/>
      <c r="H19" s="22"/>
      <c r="I19" s="22"/>
      <c r="J19" s="22"/>
      <c r="K19" s="22"/>
      <c r="L19" s="22"/>
      <c r="M19" s="22"/>
      <c r="N19" s="454"/>
      <c r="O19" s="455" t="b">
        <v>0</v>
      </c>
    </row>
    <row r="20" spans="1:15" x14ac:dyDescent="0.25">
      <c r="A20" s="22"/>
      <c r="B20" s="22"/>
      <c r="C20" s="22"/>
      <c r="D20" s="22"/>
      <c r="E20" s="22"/>
      <c r="F20" s="22"/>
      <c r="G20" s="22"/>
      <c r="H20" s="22"/>
      <c r="I20" s="22"/>
      <c r="J20" s="22"/>
      <c r="K20" s="22"/>
      <c r="L20" s="22"/>
      <c r="M20" s="22"/>
      <c r="N20" s="454"/>
      <c r="O20" s="455" t="b">
        <v>0</v>
      </c>
    </row>
    <row r="21" spans="1:15" x14ac:dyDescent="0.25">
      <c r="A21" s="22"/>
      <c r="B21" s="22"/>
      <c r="C21" s="22"/>
      <c r="D21" s="22"/>
      <c r="E21" s="22"/>
      <c r="F21" s="22"/>
      <c r="G21" s="22"/>
      <c r="H21" s="22"/>
      <c r="I21" s="22"/>
      <c r="J21" s="22"/>
      <c r="K21" s="22"/>
      <c r="L21" s="22"/>
      <c r="M21" s="22"/>
      <c r="N21" s="454"/>
      <c r="O21" s="455" t="b">
        <v>0</v>
      </c>
    </row>
    <row r="22" spans="1:15" x14ac:dyDescent="0.25">
      <c r="A22" s="22"/>
      <c r="B22" s="22"/>
      <c r="C22" s="22"/>
      <c r="D22" s="22"/>
      <c r="E22" s="22"/>
      <c r="F22" s="22"/>
      <c r="G22" s="22"/>
      <c r="H22" s="22"/>
      <c r="I22" s="22"/>
      <c r="J22" s="22"/>
      <c r="K22" s="22"/>
      <c r="L22" s="22"/>
      <c r="M22" s="22"/>
      <c r="N22" s="454"/>
      <c r="O22" s="455" t="b">
        <v>0</v>
      </c>
    </row>
    <row r="23" spans="1:15" x14ac:dyDescent="0.25">
      <c r="A23" s="22"/>
      <c r="B23" s="22"/>
      <c r="C23" s="22"/>
      <c r="D23" s="22"/>
      <c r="E23" s="22"/>
      <c r="F23" s="22"/>
      <c r="G23" s="22"/>
      <c r="H23" s="22"/>
      <c r="I23" s="22"/>
      <c r="J23" s="22"/>
      <c r="K23" s="22"/>
      <c r="L23" s="22"/>
      <c r="M23" s="22"/>
      <c r="N23" s="454"/>
      <c r="O23" s="455" t="b">
        <v>0</v>
      </c>
    </row>
    <row r="24" spans="1:15" x14ac:dyDescent="0.25">
      <c r="A24" s="22"/>
      <c r="B24" s="22"/>
      <c r="C24" s="22"/>
      <c r="D24" s="22"/>
      <c r="E24" s="22"/>
      <c r="F24" s="393"/>
      <c r="G24" s="393"/>
      <c r="H24" s="393"/>
      <c r="I24" s="393"/>
      <c r="J24" s="393"/>
      <c r="K24" s="393"/>
      <c r="L24" s="22"/>
      <c r="M24" s="22"/>
      <c r="N24" s="454"/>
      <c r="O24" s="455" t="b">
        <v>0</v>
      </c>
    </row>
    <row r="25" spans="1:15" x14ac:dyDescent="0.25">
      <c r="A25" s="22"/>
      <c r="B25" s="22"/>
      <c r="C25" s="22"/>
      <c r="D25" s="22"/>
      <c r="E25" s="22"/>
      <c r="F25" s="393"/>
      <c r="G25" s="393"/>
      <c r="H25" s="393"/>
      <c r="I25" s="393"/>
      <c r="J25" s="393"/>
      <c r="K25" s="393"/>
      <c r="L25" s="22"/>
      <c r="M25" s="22"/>
      <c r="N25" s="454"/>
      <c r="O25" s="455" t="b">
        <v>0</v>
      </c>
    </row>
    <row r="26" spans="1:15" x14ac:dyDescent="0.25">
      <c r="N26" s="454"/>
      <c r="O26" s="455" t="b">
        <v>0</v>
      </c>
    </row>
    <row r="27" spans="1:15" x14ac:dyDescent="0.25">
      <c r="N27" s="454"/>
      <c r="O27" s="455" t="b">
        <v>0</v>
      </c>
    </row>
    <row r="28" spans="1:15" x14ac:dyDescent="0.25">
      <c r="N28" s="454"/>
      <c r="O28" s="455" t="b">
        <v>0</v>
      </c>
    </row>
    <row r="29" spans="1:15" x14ac:dyDescent="0.25">
      <c r="O29" s="393" t="b">
        <v>0</v>
      </c>
    </row>
    <row r="30" spans="1:15" x14ac:dyDescent="0.25">
      <c r="O30" s="393" t="b">
        <v>0</v>
      </c>
    </row>
    <row r="31" spans="1:15" x14ac:dyDescent="0.25">
      <c r="O31" s="393" t="b">
        <v>0</v>
      </c>
    </row>
    <row r="32" spans="1:15" x14ac:dyDescent="0.25">
      <c r="O32" s="393" t="b">
        <v>0</v>
      </c>
    </row>
    <row r="33" spans="15:15" x14ac:dyDescent="0.25">
      <c r="O33" s="393" t="b">
        <v>0</v>
      </c>
    </row>
    <row r="34" spans="15:15" x14ac:dyDescent="0.25">
      <c r="O34" s="393" t="b">
        <v>0</v>
      </c>
    </row>
    <row r="35" spans="15:15" x14ac:dyDescent="0.25">
      <c r="O35" s="393" t="b">
        <v>0</v>
      </c>
    </row>
    <row r="36" spans="15:15" x14ac:dyDescent="0.25">
      <c r="O36" s="393" t="b">
        <v>0</v>
      </c>
    </row>
    <row r="37" spans="15:15" x14ac:dyDescent="0.25">
      <c r="O37" s="393" t="b">
        <v>0</v>
      </c>
    </row>
    <row r="38" spans="15:15" x14ac:dyDescent="0.25">
      <c r="O38" s="393" t="b">
        <v>0</v>
      </c>
    </row>
    <row r="39" spans="15:15" x14ac:dyDescent="0.25">
      <c r="O39" s="393" t="b">
        <v>0</v>
      </c>
    </row>
    <row r="40" spans="15:15" x14ac:dyDescent="0.25">
      <c r="O40" s="393" t="b">
        <v>0</v>
      </c>
    </row>
    <row r="41" spans="15:15" x14ac:dyDescent="0.25">
      <c r="O41" s="393" t="b">
        <v>0</v>
      </c>
    </row>
    <row r="42" spans="15:15" x14ac:dyDescent="0.25">
      <c r="O42" s="393" t="b">
        <v>0</v>
      </c>
    </row>
    <row r="43" spans="15:15" x14ac:dyDescent="0.25">
      <c r="O43" s="393" t="b">
        <v>0</v>
      </c>
    </row>
    <row r="44" spans="15:15" x14ac:dyDescent="0.25">
      <c r="O44" s="393" t="b">
        <v>0</v>
      </c>
    </row>
    <row r="45" spans="15:15" x14ac:dyDescent="0.25">
      <c r="O45" s="393" t="b">
        <v>0</v>
      </c>
    </row>
    <row r="46" spans="15:15" x14ac:dyDescent="0.25">
      <c r="O46" s="393" t="b">
        <v>0</v>
      </c>
    </row>
    <row r="47" spans="15:15" x14ac:dyDescent="0.25">
      <c r="O47" s="393" t="b">
        <v>0</v>
      </c>
    </row>
  </sheetData>
  <sheetProtection algorithmName="SHA-512" hashValue="XDZC9/KqB/OmJQsaEXQFJrgJXa1TLaTYH8uLzguvRBdxsCRJ7my7zkxSrbjNVrh7wqRlkb9L9Sp0oCjx14WWzw==" saltValue="HrJfVw0+GyqxCEQ4dDFX1g==" spinCount="100000" sheet="1" objects="1" scenarios="1" selectLockedCells="1"/>
  <dataConsolidate link="1"/>
  <mergeCells count="12">
    <mergeCell ref="D2:H2"/>
    <mergeCell ref="I2:L2"/>
    <mergeCell ref="D4:E4"/>
    <mergeCell ref="B3:C3"/>
    <mergeCell ref="D3:G3"/>
    <mergeCell ref="K4:L4"/>
    <mergeCell ref="I3:L3"/>
    <mergeCell ref="G5:H5"/>
    <mergeCell ref="B8:E8"/>
    <mergeCell ref="B9:E9"/>
    <mergeCell ref="B10:E10"/>
    <mergeCell ref="B11:E11"/>
  </mergeCells>
  <conditionalFormatting sqref="L5">
    <cfRule type="expression" dxfId="1770" priority="3">
      <formula>IF($G$4&lt;&gt;"New",IF($L$5="",TRUE,FALSE),FALSE)</formula>
    </cfRule>
  </conditionalFormatting>
  <conditionalFormatting sqref="D3 I3 C4 D4 G4 I4 K4 C5 E5 J5 L6">
    <cfRule type="notContainsBlanks" priority="2">
      <formula>LEN(TRIM(C3))&gt;0</formula>
    </cfRule>
  </conditionalFormatting>
  <conditionalFormatting sqref="D3:D4 G4 I3:I4 K4 C4:C5 E5 J5 L6">
    <cfRule type="containsBlanks" dxfId="1769" priority="1">
      <formula>LEN(TRIM(C3))=0</formula>
    </cfRule>
  </conditionalFormatting>
  <pageMargins left="0.7" right="0.7"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Check Box 51">
              <controlPr defaultSize="0" autoFill="0" autoLine="0" autoPict="0" macro="[0]!CheckBox_Click" altText="AL">
                <anchor moveWithCells="1">
                  <from>
                    <xdr:col>5</xdr:col>
                    <xdr:colOff>600075</xdr:colOff>
                    <xdr:row>6</xdr:row>
                    <xdr:rowOff>180975</xdr:rowOff>
                  </from>
                  <to>
                    <xdr:col>6</xdr:col>
                    <xdr:colOff>714375</xdr:colOff>
                    <xdr:row>8</xdr:row>
                    <xdr:rowOff>123825</xdr:rowOff>
                  </to>
                </anchor>
              </controlPr>
            </control>
          </mc:Choice>
        </mc:AlternateContent>
        <mc:AlternateContent xmlns:mc="http://schemas.openxmlformats.org/markup-compatibility/2006">
          <mc:Choice Requires="x14">
            <control shapeId="1076" r:id="rId5" name="Check Box 52">
              <controlPr defaultSize="0" autoFill="0" autoLine="0" autoPict="0" macro="[0]!CheckBox_Click" altText="AL">
                <anchor moveWithCells="1">
                  <from>
                    <xdr:col>5</xdr:col>
                    <xdr:colOff>600075</xdr:colOff>
                    <xdr:row>8</xdr:row>
                    <xdr:rowOff>123825</xdr:rowOff>
                  </from>
                  <to>
                    <xdr:col>6</xdr:col>
                    <xdr:colOff>714375</xdr:colOff>
                    <xdr:row>9</xdr:row>
                    <xdr:rowOff>142875</xdr:rowOff>
                  </to>
                </anchor>
              </controlPr>
            </control>
          </mc:Choice>
        </mc:AlternateContent>
        <mc:AlternateContent xmlns:mc="http://schemas.openxmlformats.org/markup-compatibility/2006">
          <mc:Choice Requires="x14">
            <control shapeId="1077" r:id="rId6" name="Check Box 53">
              <controlPr defaultSize="0" autoFill="0" autoLine="0" autoPict="0" macro="[0]!CheckBox_Click" altText="AL">
                <anchor moveWithCells="1">
                  <from>
                    <xdr:col>5</xdr:col>
                    <xdr:colOff>600075</xdr:colOff>
                    <xdr:row>9</xdr:row>
                    <xdr:rowOff>152400</xdr:rowOff>
                  </from>
                  <to>
                    <xdr:col>6</xdr:col>
                    <xdr:colOff>714375</xdr:colOff>
                    <xdr:row>10</xdr:row>
                    <xdr:rowOff>171450</xdr:rowOff>
                  </to>
                </anchor>
              </controlPr>
            </control>
          </mc:Choice>
        </mc:AlternateContent>
        <mc:AlternateContent xmlns:mc="http://schemas.openxmlformats.org/markup-compatibility/2006">
          <mc:Choice Requires="x14">
            <control shapeId="1078" r:id="rId7" name="Check Box 54">
              <controlPr defaultSize="0" autoFill="0" autoLine="0" autoPict="0" macro="[0]!CheckBox_Click" altText="AL">
                <anchor moveWithCells="1">
                  <from>
                    <xdr:col>5</xdr:col>
                    <xdr:colOff>600075</xdr:colOff>
                    <xdr:row>10</xdr:row>
                    <xdr:rowOff>180975</xdr:rowOff>
                  </from>
                  <to>
                    <xdr:col>6</xdr:col>
                    <xdr:colOff>714375</xdr:colOff>
                    <xdr:row>11</xdr:row>
                    <xdr:rowOff>190500</xdr:rowOff>
                  </to>
                </anchor>
              </controlPr>
            </control>
          </mc:Choice>
        </mc:AlternateContent>
        <mc:AlternateContent xmlns:mc="http://schemas.openxmlformats.org/markup-compatibility/2006">
          <mc:Choice Requires="x14">
            <control shapeId="1079" r:id="rId8" name="Check Box 55">
              <controlPr defaultSize="0" autoFill="0" autoLine="0" autoPict="0" macro="[0]!CheckBox_Click" altText="AL">
                <anchor moveWithCells="1">
                  <from>
                    <xdr:col>5</xdr:col>
                    <xdr:colOff>600075</xdr:colOff>
                    <xdr:row>11</xdr:row>
                    <xdr:rowOff>209550</xdr:rowOff>
                  </from>
                  <to>
                    <xdr:col>6</xdr:col>
                    <xdr:colOff>714375</xdr:colOff>
                    <xdr:row>12</xdr:row>
                    <xdr:rowOff>133350</xdr:rowOff>
                  </to>
                </anchor>
              </controlPr>
            </control>
          </mc:Choice>
        </mc:AlternateContent>
        <mc:AlternateContent xmlns:mc="http://schemas.openxmlformats.org/markup-compatibility/2006">
          <mc:Choice Requires="x14">
            <control shapeId="1080" r:id="rId9" name="Check Box 56">
              <controlPr defaultSize="0" autoFill="0" autoLine="0" autoPict="0" macro="[0]!CheckBox_Click" altText="AL">
                <anchor moveWithCells="1">
                  <from>
                    <xdr:col>5</xdr:col>
                    <xdr:colOff>600075</xdr:colOff>
                    <xdr:row>12</xdr:row>
                    <xdr:rowOff>142875</xdr:rowOff>
                  </from>
                  <to>
                    <xdr:col>6</xdr:col>
                    <xdr:colOff>714375</xdr:colOff>
                    <xdr:row>14</xdr:row>
                    <xdr:rowOff>85725</xdr:rowOff>
                  </to>
                </anchor>
              </controlPr>
            </control>
          </mc:Choice>
        </mc:AlternateContent>
        <mc:AlternateContent xmlns:mc="http://schemas.openxmlformats.org/markup-compatibility/2006">
          <mc:Choice Requires="x14">
            <control shapeId="1081" r:id="rId10" name="Check Box 57">
              <controlPr defaultSize="0" autoFill="0" autoLine="0" autoPict="0" macro="[0]!CheckBox_Click" altText="AL">
                <anchor moveWithCells="1">
                  <from>
                    <xdr:col>5</xdr:col>
                    <xdr:colOff>600075</xdr:colOff>
                    <xdr:row>14</xdr:row>
                    <xdr:rowOff>104775</xdr:rowOff>
                  </from>
                  <to>
                    <xdr:col>6</xdr:col>
                    <xdr:colOff>714375</xdr:colOff>
                    <xdr:row>16</xdr:row>
                    <xdr:rowOff>47625</xdr:rowOff>
                  </to>
                </anchor>
              </controlPr>
            </control>
          </mc:Choice>
        </mc:AlternateContent>
        <mc:AlternateContent xmlns:mc="http://schemas.openxmlformats.org/markup-compatibility/2006">
          <mc:Choice Requires="x14">
            <control shapeId="1082" r:id="rId11" name="Check Box 58">
              <controlPr defaultSize="0" autoFill="0" autoLine="0" autoPict="0" macro="[0]!CheckBox_Click" altText="AL">
                <anchor moveWithCells="1">
                  <from>
                    <xdr:col>5</xdr:col>
                    <xdr:colOff>600075</xdr:colOff>
                    <xdr:row>16</xdr:row>
                    <xdr:rowOff>57150</xdr:rowOff>
                  </from>
                  <to>
                    <xdr:col>6</xdr:col>
                    <xdr:colOff>714375</xdr:colOff>
                    <xdr:row>18</xdr:row>
                    <xdr:rowOff>0</xdr:rowOff>
                  </to>
                </anchor>
              </controlPr>
            </control>
          </mc:Choice>
        </mc:AlternateContent>
        <mc:AlternateContent xmlns:mc="http://schemas.openxmlformats.org/markup-compatibility/2006">
          <mc:Choice Requires="x14">
            <control shapeId="1083" r:id="rId12" name="Check Box 59">
              <controlPr defaultSize="0" autoFill="0" autoLine="0" autoPict="0" macro="[0]!CheckBox_Click" altText="AL">
                <anchor moveWithCells="1">
                  <from>
                    <xdr:col>5</xdr:col>
                    <xdr:colOff>600075</xdr:colOff>
                    <xdr:row>18</xdr:row>
                    <xdr:rowOff>9525</xdr:rowOff>
                  </from>
                  <to>
                    <xdr:col>6</xdr:col>
                    <xdr:colOff>714375</xdr:colOff>
                    <xdr:row>19</xdr:row>
                    <xdr:rowOff>152400</xdr:rowOff>
                  </to>
                </anchor>
              </controlPr>
            </control>
          </mc:Choice>
        </mc:AlternateContent>
        <mc:AlternateContent xmlns:mc="http://schemas.openxmlformats.org/markup-compatibility/2006">
          <mc:Choice Requires="x14">
            <control shapeId="1084" r:id="rId13" name="Check Box 60">
              <controlPr defaultSize="0" autoFill="0" autoLine="0" autoPict="0" macro="[0]!CheckBox_Click" altText="AL">
                <anchor moveWithCells="1">
                  <from>
                    <xdr:col>5</xdr:col>
                    <xdr:colOff>600075</xdr:colOff>
                    <xdr:row>19</xdr:row>
                    <xdr:rowOff>161925</xdr:rowOff>
                  </from>
                  <to>
                    <xdr:col>6</xdr:col>
                    <xdr:colOff>714375</xdr:colOff>
                    <xdr:row>21</xdr:row>
                    <xdr:rowOff>104775</xdr:rowOff>
                  </to>
                </anchor>
              </controlPr>
            </control>
          </mc:Choice>
        </mc:AlternateContent>
        <mc:AlternateContent xmlns:mc="http://schemas.openxmlformats.org/markup-compatibility/2006">
          <mc:Choice Requires="x14">
            <control shapeId="1086" r:id="rId14" name="Check Box 62">
              <controlPr defaultSize="0" autoFill="0" autoLine="0" autoPict="0" macro="[0]!CheckBox_Click" altText="AL">
                <anchor moveWithCells="1">
                  <from>
                    <xdr:col>5</xdr:col>
                    <xdr:colOff>600075</xdr:colOff>
                    <xdr:row>21</xdr:row>
                    <xdr:rowOff>114300</xdr:rowOff>
                  </from>
                  <to>
                    <xdr:col>6</xdr:col>
                    <xdr:colOff>714375</xdr:colOff>
                    <xdr:row>23</xdr:row>
                    <xdr:rowOff>66675</xdr:rowOff>
                  </to>
                </anchor>
              </controlPr>
            </control>
          </mc:Choice>
        </mc:AlternateContent>
        <mc:AlternateContent xmlns:mc="http://schemas.openxmlformats.org/markup-compatibility/2006">
          <mc:Choice Requires="x14">
            <control shapeId="1087" r:id="rId15" name="Check Box 63">
              <controlPr defaultSize="0" autoFill="0" autoLine="0" autoPict="0" macro="[0]!CheckBox_Click" altText="AL">
                <anchor moveWithCells="1">
                  <from>
                    <xdr:col>6</xdr:col>
                    <xdr:colOff>771525</xdr:colOff>
                    <xdr:row>6</xdr:row>
                    <xdr:rowOff>200025</xdr:rowOff>
                  </from>
                  <to>
                    <xdr:col>8</xdr:col>
                    <xdr:colOff>190500</xdr:colOff>
                    <xdr:row>8</xdr:row>
                    <xdr:rowOff>123825</xdr:rowOff>
                  </to>
                </anchor>
              </controlPr>
            </control>
          </mc:Choice>
        </mc:AlternateContent>
        <mc:AlternateContent xmlns:mc="http://schemas.openxmlformats.org/markup-compatibility/2006">
          <mc:Choice Requires="x14">
            <control shapeId="1088" r:id="rId16" name="Check Box 64">
              <controlPr defaultSize="0" autoFill="0" autoLine="0" autoPict="0" macro="[0]!CheckBox_Click" altText="AL">
                <anchor moveWithCells="1">
                  <from>
                    <xdr:col>6</xdr:col>
                    <xdr:colOff>771525</xdr:colOff>
                    <xdr:row>8</xdr:row>
                    <xdr:rowOff>133350</xdr:rowOff>
                  </from>
                  <to>
                    <xdr:col>8</xdr:col>
                    <xdr:colOff>190500</xdr:colOff>
                    <xdr:row>9</xdr:row>
                    <xdr:rowOff>142875</xdr:rowOff>
                  </to>
                </anchor>
              </controlPr>
            </control>
          </mc:Choice>
        </mc:AlternateContent>
        <mc:AlternateContent xmlns:mc="http://schemas.openxmlformats.org/markup-compatibility/2006">
          <mc:Choice Requires="x14">
            <control shapeId="1089" r:id="rId17" name="Check Box 65">
              <controlPr defaultSize="0" autoFill="0" autoLine="0" autoPict="0" macro="[0]!CheckBox_Click" altText="AL">
                <anchor moveWithCells="1">
                  <from>
                    <xdr:col>6</xdr:col>
                    <xdr:colOff>771525</xdr:colOff>
                    <xdr:row>9</xdr:row>
                    <xdr:rowOff>161925</xdr:rowOff>
                  </from>
                  <to>
                    <xdr:col>8</xdr:col>
                    <xdr:colOff>190500</xdr:colOff>
                    <xdr:row>10</xdr:row>
                    <xdr:rowOff>171450</xdr:rowOff>
                  </to>
                </anchor>
              </controlPr>
            </control>
          </mc:Choice>
        </mc:AlternateContent>
        <mc:AlternateContent xmlns:mc="http://schemas.openxmlformats.org/markup-compatibility/2006">
          <mc:Choice Requires="x14">
            <control shapeId="1090" r:id="rId18" name="Check Box 66">
              <controlPr defaultSize="0" autoFill="0" autoLine="0" autoPict="0" macro="[0]!CheckBox_Click" altText="AL">
                <anchor moveWithCells="1">
                  <from>
                    <xdr:col>6</xdr:col>
                    <xdr:colOff>771525</xdr:colOff>
                    <xdr:row>10</xdr:row>
                    <xdr:rowOff>180975</xdr:rowOff>
                  </from>
                  <to>
                    <xdr:col>8</xdr:col>
                    <xdr:colOff>190500</xdr:colOff>
                    <xdr:row>11</xdr:row>
                    <xdr:rowOff>190500</xdr:rowOff>
                  </to>
                </anchor>
              </controlPr>
            </control>
          </mc:Choice>
        </mc:AlternateContent>
        <mc:AlternateContent xmlns:mc="http://schemas.openxmlformats.org/markup-compatibility/2006">
          <mc:Choice Requires="x14">
            <control shapeId="1091" r:id="rId19" name="Check Box 67">
              <controlPr defaultSize="0" autoFill="0" autoLine="0" autoPict="0" macro="[0]!CheckBox_Click" altText="AL">
                <anchor moveWithCells="1">
                  <from>
                    <xdr:col>6</xdr:col>
                    <xdr:colOff>771525</xdr:colOff>
                    <xdr:row>11</xdr:row>
                    <xdr:rowOff>209550</xdr:rowOff>
                  </from>
                  <to>
                    <xdr:col>8</xdr:col>
                    <xdr:colOff>190500</xdr:colOff>
                    <xdr:row>12</xdr:row>
                    <xdr:rowOff>114300</xdr:rowOff>
                  </to>
                </anchor>
              </controlPr>
            </control>
          </mc:Choice>
        </mc:AlternateContent>
        <mc:AlternateContent xmlns:mc="http://schemas.openxmlformats.org/markup-compatibility/2006">
          <mc:Choice Requires="x14">
            <control shapeId="1092" r:id="rId20" name="Check Box 68">
              <controlPr defaultSize="0" autoFill="0" autoLine="0" autoPict="0" macro="[0]!CheckBox_Click" altText="AL">
                <anchor moveWithCells="1">
                  <from>
                    <xdr:col>6</xdr:col>
                    <xdr:colOff>771525</xdr:colOff>
                    <xdr:row>12</xdr:row>
                    <xdr:rowOff>133350</xdr:rowOff>
                  </from>
                  <to>
                    <xdr:col>8</xdr:col>
                    <xdr:colOff>190500</xdr:colOff>
                    <xdr:row>14</xdr:row>
                    <xdr:rowOff>76200</xdr:rowOff>
                  </to>
                </anchor>
              </controlPr>
            </control>
          </mc:Choice>
        </mc:AlternateContent>
        <mc:AlternateContent xmlns:mc="http://schemas.openxmlformats.org/markup-compatibility/2006">
          <mc:Choice Requires="x14">
            <control shapeId="1093" r:id="rId21" name="Check Box 69">
              <controlPr defaultSize="0" autoFill="0" autoLine="0" autoPict="0" macro="[0]!CheckBox_Click" altText="AL">
                <anchor moveWithCells="1">
                  <from>
                    <xdr:col>6</xdr:col>
                    <xdr:colOff>771525</xdr:colOff>
                    <xdr:row>14</xdr:row>
                    <xdr:rowOff>95250</xdr:rowOff>
                  </from>
                  <to>
                    <xdr:col>8</xdr:col>
                    <xdr:colOff>190500</xdr:colOff>
                    <xdr:row>16</xdr:row>
                    <xdr:rowOff>38100</xdr:rowOff>
                  </to>
                </anchor>
              </controlPr>
            </control>
          </mc:Choice>
        </mc:AlternateContent>
        <mc:AlternateContent xmlns:mc="http://schemas.openxmlformats.org/markup-compatibility/2006">
          <mc:Choice Requires="x14">
            <control shapeId="1094" r:id="rId22" name="Check Box 70">
              <controlPr defaultSize="0" autoFill="0" autoLine="0" autoPict="0" macro="[0]!CheckBox_Click" altText="AL">
                <anchor moveWithCells="1">
                  <from>
                    <xdr:col>6</xdr:col>
                    <xdr:colOff>771525</xdr:colOff>
                    <xdr:row>16</xdr:row>
                    <xdr:rowOff>57150</xdr:rowOff>
                  </from>
                  <to>
                    <xdr:col>8</xdr:col>
                    <xdr:colOff>190500</xdr:colOff>
                    <xdr:row>18</xdr:row>
                    <xdr:rowOff>0</xdr:rowOff>
                  </to>
                </anchor>
              </controlPr>
            </control>
          </mc:Choice>
        </mc:AlternateContent>
        <mc:AlternateContent xmlns:mc="http://schemas.openxmlformats.org/markup-compatibility/2006">
          <mc:Choice Requires="x14">
            <control shapeId="1096" r:id="rId23" name="Check Box 72">
              <controlPr defaultSize="0" autoFill="0" autoLine="0" autoPict="0" macro="[0]!CheckBox_Click" altText="AL">
                <anchor moveWithCells="1">
                  <from>
                    <xdr:col>6</xdr:col>
                    <xdr:colOff>771525</xdr:colOff>
                    <xdr:row>18</xdr:row>
                    <xdr:rowOff>19050</xdr:rowOff>
                  </from>
                  <to>
                    <xdr:col>8</xdr:col>
                    <xdr:colOff>190500</xdr:colOff>
                    <xdr:row>19</xdr:row>
                    <xdr:rowOff>133350</xdr:rowOff>
                  </to>
                </anchor>
              </controlPr>
            </control>
          </mc:Choice>
        </mc:AlternateContent>
        <mc:AlternateContent xmlns:mc="http://schemas.openxmlformats.org/markup-compatibility/2006">
          <mc:Choice Requires="x14">
            <control shapeId="1097" r:id="rId24" name="Check Box 73">
              <controlPr defaultSize="0" autoFill="0" autoLine="0" autoPict="0" macro="[0]!CheckBox_Click" altText="AL">
                <anchor moveWithCells="1">
                  <from>
                    <xdr:col>6</xdr:col>
                    <xdr:colOff>771525</xdr:colOff>
                    <xdr:row>19</xdr:row>
                    <xdr:rowOff>152400</xdr:rowOff>
                  </from>
                  <to>
                    <xdr:col>8</xdr:col>
                    <xdr:colOff>190500</xdr:colOff>
                    <xdr:row>21</xdr:row>
                    <xdr:rowOff>95250</xdr:rowOff>
                  </to>
                </anchor>
              </controlPr>
            </control>
          </mc:Choice>
        </mc:AlternateContent>
        <mc:AlternateContent xmlns:mc="http://schemas.openxmlformats.org/markup-compatibility/2006">
          <mc:Choice Requires="x14">
            <control shapeId="1098" r:id="rId25" name="Check Box 74">
              <controlPr defaultSize="0" autoFill="0" autoLine="0" autoPict="0" macro="[0]!CheckBox_Click" altText="AL">
                <anchor moveWithCells="1">
                  <from>
                    <xdr:col>8</xdr:col>
                    <xdr:colOff>247650</xdr:colOff>
                    <xdr:row>6</xdr:row>
                    <xdr:rowOff>190500</xdr:rowOff>
                  </from>
                  <to>
                    <xdr:col>9</xdr:col>
                    <xdr:colOff>390525</xdr:colOff>
                    <xdr:row>8</xdr:row>
                    <xdr:rowOff>123825</xdr:rowOff>
                  </to>
                </anchor>
              </controlPr>
            </control>
          </mc:Choice>
        </mc:AlternateContent>
        <mc:AlternateContent xmlns:mc="http://schemas.openxmlformats.org/markup-compatibility/2006">
          <mc:Choice Requires="x14">
            <control shapeId="1099" r:id="rId26" name="Check Box 75">
              <controlPr defaultSize="0" autoFill="0" autoLine="0" autoPict="0" macro="[0]!CheckBox_Click" altText="AL">
                <anchor moveWithCells="1">
                  <from>
                    <xdr:col>8</xdr:col>
                    <xdr:colOff>247650</xdr:colOff>
                    <xdr:row>8</xdr:row>
                    <xdr:rowOff>133350</xdr:rowOff>
                  </from>
                  <to>
                    <xdr:col>9</xdr:col>
                    <xdr:colOff>390525</xdr:colOff>
                    <xdr:row>9</xdr:row>
                    <xdr:rowOff>142875</xdr:rowOff>
                  </to>
                </anchor>
              </controlPr>
            </control>
          </mc:Choice>
        </mc:AlternateContent>
        <mc:AlternateContent xmlns:mc="http://schemas.openxmlformats.org/markup-compatibility/2006">
          <mc:Choice Requires="x14">
            <control shapeId="1100" r:id="rId27" name="Check Box 76">
              <controlPr defaultSize="0" autoFill="0" autoLine="0" autoPict="0" macro="[0]!CheckBox_Click" altText="AL">
                <anchor moveWithCells="1">
                  <from>
                    <xdr:col>8</xdr:col>
                    <xdr:colOff>247650</xdr:colOff>
                    <xdr:row>9</xdr:row>
                    <xdr:rowOff>161925</xdr:rowOff>
                  </from>
                  <to>
                    <xdr:col>9</xdr:col>
                    <xdr:colOff>390525</xdr:colOff>
                    <xdr:row>10</xdr:row>
                    <xdr:rowOff>171450</xdr:rowOff>
                  </to>
                </anchor>
              </controlPr>
            </control>
          </mc:Choice>
        </mc:AlternateContent>
        <mc:AlternateContent xmlns:mc="http://schemas.openxmlformats.org/markup-compatibility/2006">
          <mc:Choice Requires="x14">
            <control shapeId="1101" r:id="rId28" name="Check Box 77">
              <controlPr defaultSize="0" autoFill="0" autoLine="0" autoPict="0" macro="[0]!CheckBox_Click" altText="AL">
                <anchor moveWithCells="1">
                  <from>
                    <xdr:col>8</xdr:col>
                    <xdr:colOff>247650</xdr:colOff>
                    <xdr:row>10</xdr:row>
                    <xdr:rowOff>180975</xdr:rowOff>
                  </from>
                  <to>
                    <xdr:col>9</xdr:col>
                    <xdr:colOff>390525</xdr:colOff>
                    <xdr:row>11</xdr:row>
                    <xdr:rowOff>190500</xdr:rowOff>
                  </to>
                </anchor>
              </controlPr>
            </control>
          </mc:Choice>
        </mc:AlternateContent>
        <mc:AlternateContent xmlns:mc="http://schemas.openxmlformats.org/markup-compatibility/2006">
          <mc:Choice Requires="x14">
            <control shapeId="1102" r:id="rId29" name="Check Box 78">
              <controlPr defaultSize="0" autoFill="0" autoLine="0" autoPict="0" macro="[0]!CheckBox_Click" altText="AL">
                <anchor moveWithCells="1">
                  <from>
                    <xdr:col>8</xdr:col>
                    <xdr:colOff>247650</xdr:colOff>
                    <xdr:row>11</xdr:row>
                    <xdr:rowOff>209550</xdr:rowOff>
                  </from>
                  <to>
                    <xdr:col>9</xdr:col>
                    <xdr:colOff>390525</xdr:colOff>
                    <xdr:row>12</xdr:row>
                    <xdr:rowOff>123825</xdr:rowOff>
                  </to>
                </anchor>
              </controlPr>
            </control>
          </mc:Choice>
        </mc:AlternateContent>
        <mc:AlternateContent xmlns:mc="http://schemas.openxmlformats.org/markup-compatibility/2006">
          <mc:Choice Requires="x14">
            <control shapeId="1103" r:id="rId30" name="Check Box 79">
              <controlPr defaultSize="0" autoFill="0" autoLine="0" autoPict="0" macro="[0]!CheckBox_Click" altText="AL">
                <anchor moveWithCells="1">
                  <from>
                    <xdr:col>8</xdr:col>
                    <xdr:colOff>247650</xdr:colOff>
                    <xdr:row>12</xdr:row>
                    <xdr:rowOff>133350</xdr:rowOff>
                  </from>
                  <to>
                    <xdr:col>9</xdr:col>
                    <xdr:colOff>390525</xdr:colOff>
                    <xdr:row>14</xdr:row>
                    <xdr:rowOff>76200</xdr:rowOff>
                  </to>
                </anchor>
              </controlPr>
            </control>
          </mc:Choice>
        </mc:AlternateContent>
        <mc:AlternateContent xmlns:mc="http://schemas.openxmlformats.org/markup-compatibility/2006">
          <mc:Choice Requires="x14">
            <control shapeId="1104" r:id="rId31" name="Check Box 80">
              <controlPr defaultSize="0" autoFill="0" autoLine="0" autoPict="0" macro="[0]!CheckBox_Click" altText="AL">
                <anchor moveWithCells="1">
                  <from>
                    <xdr:col>8</xdr:col>
                    <xdr:colOff>247650</xdr:colOff>
                    <xdr:row>14</xdr:row>
                    <xdr:rowOff>95250</xdr:rowOff>
                  </from>
                  <to>
                    <xdr:col>9</xdr:col>
                    <xdr:colOff>390525</xdr:colOff>
                    <xdr:row>16</xdr:row>
                    <xdr:rowOff>38100</xdr:rowOff>
                  </to>
                </anchor>
              </controlPr>
            </control>
          </mc:Choice>
        </mc:AlternateContent>
        <mc:AlternateContent xmlns:mc="http://schemas.openxmlformats.org/markup-compatibility/2006">
          <mc:Choice Requires="x14">
            <control shapeId="1105" r:id="rId32" name="Check Box 81">
              <controlPr defaultSize="0" autoFill="0" autoLine="0" autoPict="0" macro="[0]!CheckBox_Click" altText="AL">
                <anchor moveWithCells="1">
                  <from>
                    <xdr:col>8</xdr:col>
                    <xdr:colOff>247650</xdr:colOff>
                    <xdr:row>16</xdr:row>
                    <xdr:rowOff>47625</xdr:rowOff>
                  </from>
                  <to>
                    <xdr:col>9</xdr:col>
                    <xdr:colOff>390525</xdr:colOff>
                    <xdr:row>17</xdr:row>
                    <xdr:rowOff>180975</xdr:rowOff>
                  </to>
                </anchor>
              </controlPr>
            </control>
          </mc:Choice>
        </mc:AlternateContent>
        <mc:AlternateContent xmlns:mc="http://schemas.openxmlformats.org/markup-compatibility/2006">
          <mc:Choice Requires="x14">
            <control shapeId="1107" r:id="rId33" name="Check Box 83">
              <controlPr defaultSize="0" autoFill="0" autoLine="0" autoPict="0" macro="[0]!CheckBox_Click" altText="AL">
                <anchor moveWithCells="1">
                  <from>
                    <xdr:col>8</xdr:col>
                    <xdr:colOff>247650</xdr:colOff>
                    <xdr:row>19</xdr:row>
                    <xdr:rowOff>152400</xdr:rowOff>
                  </from>
                  <to>
                    <xdr:col>9</xdr:col>
                    <xdr:colOff>390525</xdr:colOff>
                    <xdr:row>21</xdr:row>
                    <xdr:rowOff>85725</xdr:rowOff>
                  </to>
                </anchor>
              </controlPr>
            </control>
          </mc:Choice>
        </mc:AlternateContent>
        <mc:AlternateContent xmlns:mc="http://schemas.openxmlformats.org/markup-compatibility/2006">
          <mc:Choice Requires="x14">
            <control shapeId="1110" r:id="rId34" name="Check Box 86">
              <controlPr defaultSize="0" autoFill="0" autoLine="0" autoPict="0" macro="[0]!CheckBox_Click" altText="AL">
                <anchor moveWithCells="1">
                  <from>
                    <xdr:col>8</xdr:col>
                    <xdr:colOff>247650</xdr:colOff>
                    <xdr:row>21</xdr:row>
                    <xdr:rowOff>104775</xdr:rowOff>
                  </from>
                  <to>
                    <xdr:col>9</xdr:col>
                    <xdr:colOff>390525</xdr:colOff>
                    <xdr:row>23</xdr:row>
                    <xdr:rowOff>47625</xdr:rowOff>
                  </to>
                </anchor>
              </controlPr>
            </control>
          </mc:Choice>
        </mc:AlternateContent>
        <mc:AlternateContent xmlns:mc="http://schemas.openxmlformats.org/markup-compatibility/2006">
          <mc:Choice Requires="x14">
            <control shapeId="1112" r:id="rId35" name="Check Box 88">
              <controlPr defaultSize="0" autoFill="0" autoLine="0" autoPict="0" macro="[0]!CheckBox_Click" altText="AL">
                <anchor moveWithCells="1">
                  <from>
                    <xdr:col>9</xdr:col>
                    <xdr:colOff>438150</xdr:colOff>
                    <xdr:row>6</xdr:row>
                    <xdr:rowOff>190500</xdr:rowOff>
                  </from>
                  <to>
                    <xdr:col>10</xdr:col>
                    <xdr:colOff>590550</xdr:colOff>
                    <xdr:row>8</xdr:row>
                    <xdr:rowOff>123825</xdr:rowOff>
                  </to>
                </anchor>
              </controlPr>
            </control>
          </mc:Choice>
        </mc:AlternateContent>
        <mc:AlternateContent xmlns:mc="http://schemas.openxmlformats.org/markup-compatibility/2006">
          <mc:Choice Requires="x14">
            <control shapeId="1113" r:id="rId36" name="Check Box 89">
              <controlPr defaultSize="0" autoFill="0" autoLine="0" autoPict="0" macro="[0]!CheckBox_Click" altText="AL">
                <anchor moveWithCells="1">
                  <from>
                    <xdr:col>9</xdr:col>
                    <xdr:colOff>438150</xdr:colOff>
                    <xdr:row>8</xdr:row>
                    <xdr:rowOff>142875</xdr:rowOff>
                  </from>
                  <to>
                    <xdr:col>10</xdr:col>
                    <xdr:colOff>590550</xdr:colOff>
                    <xdr:row>9</xdr:row>
                    <xdr:rowOff>142875</xdr:rowOff>
                  </to>
                </anchor>
              </controlPr>
            </control>
          </mc:Choice>
        </mc:AlternateContent>
        <mc:AlternateContent xmlns:mc="http://schemas.openxmlformats.org/markup-compatibility/2006">
          <mc:Choice Requires="x14">
            <control shapeId="1114" r:id="rId37" name="Check Box 90">
              <controlPr defaultSize="0" autoFill="0" autoLine="0" autoPict="0" macro="[0]!CheckBox_Click" altText="AL">
                <anchor moveWithCells="1">
                  <from>
                    <xdr:col>9</xdr:col>
                    <xdr:colOff>438150</xdr:colOff>
                    <xdr:row>9</xdr:row>
                    <xdr:rowOff>152400</xdr:rowOff>
                  </from>
                  <to>
                    <xdr:col>10</xdr:col>
                    <xdr:colOff>590550</xdr:colOff>
                    <xdr:row>10</xdr:row>
                    <xdr:rowOff>161925</xdr:rowOff>
                  </to>
                </anchor>
              </controlPr>
            </control>
          </mc:Choice>
        </mc:AlternateContent>
        <mc:AlternateContent xmlns:mc="http://schemas.openxmlformats.org/markup-compatibility/2006">
          <mc:Choice Requires="x14">
            <control shapeId="1115" r:id="rId38" name="Check Box 91">
              <controlPr defaultSize="0" autoFill="0" autoLine="0" autoPict="0" macro="[0]!CheckBox_Click" altText="AL">
                <anchor moveWithCells="1">
                  <from>
                    <xdr:col>9</xdr:col>
                    <xdr:colOff>438150</xdr:colOff>
                    <xdr:row>10</xdr:row>
                    <xdr:rowOff>190500</xdr:rowOff>
                  </from>
                  <to>
                    <xdr:col>10</xdr:col>
                    <xdr:colOff>590550</xdr:colOff>
                    <xdr:row>11</xdr:row>
                    <xdr:rowOff>200025</xdr:rowOff>
                  </to>
                </anchor>
              </controlPr>
            </control>
          </mc:Choice>
        </mc:AlternateContent>
        <mc:AlternateContent xmlns:mc="http://schemas.openxmlformats.org/markup-compatibility/2006">
          <mc:Choice Requires="x14">
            <control shapeId="1116" r:id="rId39" name="Check Box 92">
              <controlPr defaultSize="0" autoFill="0" autoLine="0" autoPict="0" macro="[0]!CheckBox_Click" altText="AL">
                <anchor moveWithCells="1">
                  <from>
                    <xdr:col>9</xdr:col>
                    <xdr:colOff>438150</xdr:colOff>
                    <xdr:row>11</xdr:row>
                    <xdr:rowOff>219075</xdr:rowOff>
                  </from>
                  <to>
                    <xdr:col>10</xdr:col>
                    <xdr:colOff>590550</xdr:colOff>
                    <xdr:row>12</xdr:row>
                    <xdr:rowOff>142875</xdr:rowOff>
                  </to>
                </anchor>
              </controlPr>
            </control>
          </mc:Choice>
        </mc:AlternateContent>
        <mc:AlternateContent xmlns:mc="http://schemas.openxmlformats.org/markup-compatibility/2006">
          <mc:Choice Requires="x14">
            <control shapeId="1117" r:id="rId40" name="Check Box 93">
              <controlPr defaultSize="0" autoFill="0" autoLine="0" autoPict="0" macro="[0]!CheckBox_Click" altText="AL">
                <anchor moveWithCells="1">
                  <from>
                    <xdr:col>9</xdr:col>
                    <xdr:colOff>438150</xdr:colOff>
                    <xdr:row>12</xdr:row>
                    <xdr:rowOff>152400</xdr:rowOff>
                  </from>
                  <to>
                    <xdr:col>10</xdr:col>
                    <xdr:colOff>590550</xdr:colOff>
                    <xdr:row>14</xdr:row>
                    <xdr:rowOff>85725</xdr:rowOff>
                  </to>
                </anchor>
              </controlPr>
            </control>
          </mc:Choice>
        </mc:AlternateContent>
        <mc:AlternateContent xmlns:mc="http://schemas.openxmlformats.org/markup-compatibility/2006">
          <mc:Choice Requires="x14">
            <control shapeId="1118" r:id="rId41" name="Check Box 94">
              <controlPr defaultSize="0" autoFill="0" autoLine="0" autoPict="0" macro="[0]!CheckBox_Click" altText="AL">
                <anchor moveWithCells="1">
                  <from>
                    <xdr:col>9</xdr:col>
                    <xdr:colOff>438150</xdr:colOff>
                    <xdr:row>14</xdr:row>
                    <xdr:rowOff>95250</xdr:rowOff>
                  </from>
                  <to>
                    <xdr:col>10</xdr:col>
                    <xdr:colOff>590550</xdr:colOff>
                    <xdr:row>16</xdr:row>
                    <xdr:rowOff>38100</xdr:rowOff>
                  </to>
                </anchor>
              </controlPr>
            </control>
          </mc:Choice>
        </mc:AlternateContent>
        <mc:AlternateContent xmlns:mc="http://schemas.openxmlformats.org/markup-compatibility/2006">
          <mc:Choice Requires="x14">
            <control shapeId="1119" r:id="rId42" name="Check Box 95">
              <controlPr defaultSize="0" autoFill="0" autoLine="0" autoPict="0" macro="[0]!CheckBox_Click" altText="AL">
                <anchor moveWithCells="1">
                  <from>
                    <xdr:col>9</xdr:col>
                    <xdr:colOff>438150</xdr:colOff>
                    <xdr:row>16</xdr:row>
                    <xdr:rowOff>57150</xdr:rowOff>
                  </from>
                  <to>
                    <xdr:col>10</xdr:col>
                    <xdr:colOff>590550</xdr:colOff>
                    <xdr:row>18</xdr:row>
                    <xdr:rowOff>0</xdr:rowOff>
                  </to>
                </anchor>
              </controlPr>
            </control>
          </mc:Choice>
        </mc:AlternateContent>
        <mc:AlternateContent xmlns:mc="http://schemas.openxmlformats.org/markup-compatibility/2006">
          <mc:Choice Requires="x14">
            <control shapeId="1120" r:id="rId43" name="Check Box 96">
              <controlPr defaultSize="0" autoFill="0" autoLine="0" autoPict="0" macro="[0]!CheckBox_Click" altText="AL">
                <anchor moveWithCells="1">
                  <from>
                    <xdr:col>9</xdr:col>
                    <xdr:colOff>438150</xdr:colOff>
                    <xdr:row>18</xdr:row>
                    <xdr:rowOff>28575</xdr:rowOff>
                  </from>
                  <to>
                    <xdr:col>10</xdr:col>
                    <xdr:colOff>590550</xdr:colOff>
                    <xdr:row>19</xdr:row>
                    <xdr:rowOff>161925</xdr:rowOff>
                  </to>
                </anchor>
              </controlPr>
            </control>
          </mc:Choice>
        </mc:AlternateContent>
        <mc:AlternateContent xmlns:mc="http://schemas.openxmlformats.org/markup-compatibility/2006">
          <mc:Choice Requires="x14">
            <control shapeId="1122" r:id="rId44" name="Check Box 98">
              <controlPr defaultSize="0" autoFill="0" autoLine="0" autoPict="0" macro="[0]!CheckBox_Click" altText="AL">
                <anchor moveWithCells="1">
                  <from>
                    <xdr:col>9</xdr:col>
                    <xdr:colOff>438150</xdr:colOff>
                    <xdr:row>19</xdr:row>
                    <xdr:rowOff>171450</xdr:rowOff>
                  </from>
                  <to>
                    <xdr:col>10</xdr:col>
                    <xdr:colOff>590550</xdr:colOff>
                    <xdr:row>21</xdr:row>
                    <xdr:rowOff>114300</xdr:rowOff>
                  </to>
                </anchor>
              </controlPr>
            </control>
          </mc:Choice>
        </mc:AlternateContent>
        <mc:AlternateContent xmlns:mc="http://schemas.openxmlformats.org/markup-compatibility/2006">
          <mc:Choice Requires="x14">
            <control shapeId="1142" r:id="rId45" name="Check Box 118">
              <controlPr defaultSize="0" autoFill="0" autoLine="0" autoPict="0" macro="[0]!CheckBox_Click" altText="AL">
                <anchor moveWithCells="1">
                  <from>
                    <xdr:col>8</xdr:col>
                    <xdr:colOff>247650</xdr:colOff>
                    <xdr:row>18</xdr:row>
                    <xdr:rowOff>9525</xdr:rowOff>
                  </from>
                  <to>
                    <xdr:col>9</xdr:col>
                    <xdr:colOff>390525</xdr:colOff>
                    <xdr:row>19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L65"/>
  <sheetViews>
    <sheetView showGridLines="0" showRowColHeaders="0" zoomScale="90" zoomScaleNormal="90" workbookViewId="0">
      <selection activeCell="F4" sqref="F4"/>
    </sheetView>
  </sheetViews>
  <sheetFormatPr defaultRowHeight="18.75" customHeight="1" x14ac:dyDescent="0.25"/>
  <cols>
    <col min="1" max="1" width="6" style="22" customWidth="1"/>
    <col min="2" max="2" width="36.140625" style="22" customWidth="1"/>
    <col min="3" max="3" width="25.5703125" style="22" customWidth="1"/>
    <col min="4" max="4" width="12.42578125" style="22" bestFit="1" customWidth="1"/>
    <col min="5" max="5" width="7.5703125" style="22" bestFit="1" customWidth="1"/>
    <col min="6" max="6" width="16.28515625" style="22" bestFit="1" customWidth="1"/>
    <col min="7" max="7" width="12.28515625" style="22" bestFit="1" customWidth="1"/>
    <col min="8" max="8" width="28.7109375" style="22" customWidth="1"/>
    <col min="9" max="9" width="69.140625" style="22" bestFit="1" customWidth="1"/>
    <col min="10" max="10" width="6" customWidth="1"/>
    <col min="11" max="11" width="4.42578125" customWidth="1"/>
    <col min="12" max="16384" width="9.140625" style="22"/>
  </cols>
  <sheetData>
    <row r="1" spans="2:12" ht="64.5" customHeight="1" thickBot="1" x14ac:dyDescent="0.3">
      <c r="B1" s="19" t="s">
        <v>0</v>
      </c>
      <c r="C1" s="20"/>
      <c r="D1" s="20"/>
      <c r="E1" s="20"/>
      <c r="F1" s="20"/>
      <c r="G1" s="20"/>
      <c r="H1" s="21"/>
      <c r="I1" s="20"/>
      <c r="J1" s="22"/>
    </row>
    <row r="2" spans="2:12" ht="18.75" customHeight="1" thickBot="1" x14ac:dyDescent="0.3">
      <c r="B2" s="23" t="s">
        <v>1</v>
      </c>
      <c r="C2" s="24" t="s">
        <v>2</v>
      </c>
      <c r="D2" s="25" t="s">
        <v>3</v>
      </c>
      <c r="E2" s="25" t="s">
        <v>4</v>
      </c>
      <c r="F2" s="25" t="s">
        <v>5</v>
      </c>
      <c r="G2" s="25" t="s">
        <v>6</v>
      </c>
      <c r="H2" s="25" t="s">
        <v>7</v>
      </c>
      <c r="I2" s="26" t="s">
        <v>8</v>
      </c>
      <c r="J2" s="22"/>
    </row>
    <row r="3" spans="2:12" ht="18.75" customHeight="1" x14ac:dyDescent="0.25">
      <c r="B3" s="27">
        <v>1</v>
      </c>
      <c r="C3" s="3" t="s">
        <v>97</v>
      </c>
      <c r="D3" s="28">
        <v>0.25</v>
      </c>
      <c r="E3" s="28">
        <v>0.25</v>
      </c>
      <c r="F3" s="29">
        <v>1000</v>
      </c>
      <c r="G3" s="30" t="s">
        <v>12</v>
      </c>
      <c r="H3" s="31" t="s">
        <v>13</v>
      </c>
      <c r="I3" s="87" t="s">
        <v>14</v>
      </c>
      <c r="J3" s="22"/>
    </row>
    <row r="4" spans="2:12" ht="18.75" customHeight="1" x14ac:dyDescent="0.25">
      <c r="B4" s="32">
        <v>54</v>
      </c>
      <c r="C4" s="10" t="s">
        <v>98</v>
      </c>
      <c r="D4" s="33">
        <v>0.25</v>
      </c>
      <c r="E4" s="33">
        <v>0.25</v>
      </c>
      <c r="F4" s="34">
        <v>1000</v>
      </c>
      <c r="G4" s="35" t="s">
        <v>12</v>
      </c>
      <c r="H4" s="36"/>
      <c r="I4" s="88" t="s">
        <v>16</v>
      </c>
      <c r="J4" s="22"/>
    </row>
    <row r="5" spans="2:12" ht="18.75" customHeight="1" x14ac:dyDescent="0.25">
      <c r="B5" s="37">
        <v>2</v>
      </c>
      <c r="C5" s="13" t="s">
        <v>99</v>
      </c>
      <c r="D5" s="28">
        <v>0.25</v>
      </c>
      <c r="E5" s="28">
        <v>0.25</v>
      </c>
      <c r="F5" s="29">
        <v>3000</v>
      </c>
      <c r="G5" s="30" t="s">
        <v>12</v>
      </c>
      <c r="H5" s="38" t="s">
        <v>18</v>
      </c>
      <c r="I5" s="87" t="s">
        <v>19</v>
      </c>
      <c r="J5" s="22"/>
    </row>
    <row r="6" spans="2:12" ht="18.75" customHeight="1" x14ac:dyDescent="0.25">
      <c r="B6" s="32">
        <v>3</v>
      </c>
      <c r="C6" s="10" t="s">
        <v>100</v>
      </c>
      <c r="D6" s="33">
        <v>0.25</v>
      </c>
      <c r="E6" s="33">
        <v>0.25</v>
      </c>
      <c r="F6" s="35" t="s">
        <v>20</v>
      </c>
      <c r="G6" s="35" t="s">
        <v>21</v>
      </c>
      <c r="H6" s="39"/>
      <c r="I6" s="88" t="s">
        <v>22</v>
      </c>
      <c r="J6" s="22"/>
    </row>
    <row r="7" spans="2:12" ht="18.75" customHeight="1" x14ac:dyDescent="0.25">
      <c r="B7" s="37">
        <v>4</v>
      </c>
      <c r="C7" s="13" t="s">
        <v>101</v>
      </c>
      <c r="D7" s="28">
        <v>0.5</v>
      </c>
      <c r="E7" s="28">
        <v>0.5</v>
      </c>
      <c r="F7" s="29" t="s">
        <v>23</v>
      </c>
      <c r="G7" s="30" t="s">
        <v>21</v>
      </c>
      <c r="H7" s="38"/>
      <c r="I7" s="87" t="s">
        <v>24</v>
      </c>
      <c r="J7" s="22"/>
    </row>
    <row r="8" spans="2:12" ht="18.75" customHeight="1" x14ac:dyDescent="0.25">
      <c r="B8" s="32">
        <v>5</v>
      </c>
      <c r="C8" s="10" t="s">
        <v>102</v>
      </c>
      <c r="D8" s="33">
        <v>0.25</v>
      </c>
      <c r="E8" s="33">
        <v>0.25</v>
      </c>
      <c r="F8" s="34">
        <v>4000</v>
      </c>
      <c r="G8" s="35" t="s">
        <v>12</v>
      </c>
      <c r="H8" s="40"/>
      <c r="I8" s="88" t="s">
        <v>26</v>
      </c>
      <c r="J8" s="22"/>
    </row>
    <row r="9" spans="2:12" ht="18.75" customHeight="1" x14ac:dyDescent="0.25">
      <c r="B9" s="37">
        <v>6</v>
      </c>
      <c r="C9" s="13" t="s">
        <v>103</v>
      </c>
      <c r="D9" s="28">
        <v>0.25</v>
      </c>
      <c r="E9" s="28">
        <v>0.25</v>
      </c>
      <c r="F9" s="29">
        <v>5500</v>
      </c>
      <c r="G9" s="30" t="s">
        <v>12</v>
      </c>
      <c r="H9" s="38"/>
      <c r="I9" s="87" t="s">
        <v>27</v>
      </c>
      <c r="J9" s="22"/>
    </row>
    <row r="10" spans="2:12" ht="18.75" customHeight="1" x14ac:dyDescent="0.25">
      <c r="B10" s="32">
        <v>7</v>
      </c>
      <c r="C10" s="10" t="s">
        <v>104</v>
      </c>
      <c r="D10" s="33">
        <v>0.25</v>
      </c>
      <c r="E10" s="33">
        <v>0.25</v>
      </c>
      <c r="F10" s="34" t="s">
        <v>23</v>
      </c>
      <c r="G10" s="35" t="s">
        <v>21</v>
      </c>
      <c r="H10" s="40"/>
      <c r="I10" s="88" t="s">
        <v>28</v>
      </c>
      <c r="J10" s="22"/>
    </row>
    <row r="11" spans="2:12" ht="18.75" customHeight="1" x14ac:dyDescent="0.25">
      <c r="B11" s="37">
        <v>8</v>
      </c>
      <c r="C11" s="1" t="s">
        <v>105</v>
      </c>
      <c r="D11" s="28">
        <v>0.25</v>
      </c>
      <c r="E11" s="28">
        <v>0.25</v>
      </c>
      <c r="F11" s="29">
        <v>3500</v>
      </c>
      <c r="G11" s="30" t="s">
        <v>12</v>
      </c>
      <c r="H11" s="38"/>
      <c r="I11" s="87" t="s">
        <v>29</v>
      </c>
      <c r="J11" s="22"/>
      <c r="L11" s="393"/>
    </row>
    <row r="12" spans="2:12" ht="18.75" customHeight="1" x14ac:dyDescent="0.25">
      <c r="B12" s="41">
        <v>9</v>
      </c>
      <c r="C12" s="394" t="s">
        <v>106</v>
      </c>
      <c r="D12" s="42" t="s">
        <v>30</v>
      </c>
      <c r="E12" s="42"/>
      <c r="F12" s="42"/>
      <c r="G12" s="42"/>
      <c r="H12" s="43"/>
      <c r="I12" s="88" t="s">
        <v>31</v>
      </c>
      <c r="J12" s="22"/>
    </row>
    <row r="13" spans="2:12" ht="18.75" customHeight="1" x14ac:dyDescent="0.25">
      <c r="B13" s="37">
        <v>10</v>
      </c>
      <c r="C13" s="13" t="s">
        <v>107</v>
      </c>
      <c r="D13" s="28">
        <v>0.15</v>
      </c>
      <c r="E13" s="28">
        <v>0.15</v>
      </c>
      <c r="F13" s="29" t="s">
        <v>23</v>
      </c>
      <c r="G13" s="30" t="s">
        <v>21</v>
      </c>
      <c r="H13" s="38" t="s">
        <v>32</v>
      </c>
      <c r="I13" s="87" t="s">
        <v>33</v>
      </c>
      <c r="J13" s="22"/>
    </row>
    <row r="14" spans="2:12" ht="18.75" customHeight="1" x14ac:dyDescent="0.25">
      <c r="B14" s="41">
        <v>52</v>
      </c>
      <c r="C14" s="394" t="s">
        <v>108</v>
      </c>
      <c r="D14" s="42" t="s">
        <v>30</v>
      </c>
      <c r="E14" s="42"/>
      <c r="F14" s="42"/>
      <c r="G14" s="42"/>
      <c r="H14" s="43"/>
      <c r="I14" s="88" t="s">
        <v>34</v>
      </c>
      <c r="J14" s="22"/>
    </row>
    <row r="15" spans="2:12" ht="24.75" customHeight="1" x14ac:dyDescent="0.25">
      <c r="B15" s="37">
        <v>11</v>
      </c>
      <c r="C15" s="13" t="s">
        <v>109</v>
      </c>
      <c r="D15" s="28">
        <v>0.25</v>
      </c>
      <c r="E15" s="28">
        <v>0.25</v>
      </c>
      <c r="F15" s="29" t="s">
        <v>23</v>
      </c>
      <c r="G15" s="30" t="s">
        <v>12</v>
      </c>
      <c r="H15" s="38" t="s">
        <v>35</v>
      </c>
      <c r="I15" s="87" t="s">
        <v>36</v>
      </c>
      <c r="J15" s="22"/>
    </row>
    <row r="16" spans="2:12" ht="18.75" customHeight="1" x14ac:dyDescent="0.25">
      <c r="B16" s="32">
        <v>12</v>
      </c>
      <c r="C16" s="10" t="s">
        <v>110</v>
      </c>
      <c r="D16" s="33">
        <v>0.5</v>
      </c>
      <c r="E16" s="33">
        <v>0.5</v>
      </c>
      <c r="F16" s="34" t="s">
        <v>23</v>
      </c>
      <c r="G16" s="35" t="s">
        <v>21</v>
      </c>
      <c r="H16" s="40"/>
      <c r="I16" s="88" t="s">
        <v>37</v>
      </c>
      <c r="J16" s="22"/>
    </row>
    <row r="17" spans="2:10" ht="18.75" customHeight="1" x14ac:dyDescent="0.25">
      <c r="B17" s="37">
        <v>13</v>
      </c>
      <c r="C17" s="13" t="s">
        <v>111</v>
      </c>
      <c r="D17" s="28">
        <v>0.5</v>
      </c>
      <c r="E17" s="28">
        <v>0.5</v>
      </c>
      <c r="F17" s="29" t="s">
        <v>20</v>
      </c>
      <c r="G17" s="30" t="s">
        <v>12</v>
      </c>
      <c r="H17" s="38"/>
      <c r="I17" s="87" t="s">
        <v>38</v>
      </c>
      <c r="J17" s="22"/>
    </row>
    <row r="18" spans="2:10" ht="18.75" customHeight="1" x14ac:dyDescent="0.25">
      <c r="B18" s="32">
        <v>14</v>
      </c>
      <c r="C18" s="10" t="s">
        <v>112</v>
      </c>
      <c r="D18" s="33">
        <v>0.15</v>
      </c>
      <c r="E18" s="33">
        <v>0.15</v>
      </c>
      <c r="F18" s="34" t="s">
        <v>20</v>
      </c>
      <c r="G18" s="35" t="s">
        <v>12</v>
      </c>
      <c r="H18" s="40"/>
      <c r="I18" s="88" t="s">
        <v>39</v>
      </c>
      <c r="J18" s="22"/>
    </row>
    <row r="19" spans="2:10" ht="18.75" customHeight="1" x14ac:dyDescent="0.25">
      <c r="B19" s="37">
        <v>15</v>
      </c>
      <c r="C19" s="13" t="s">
        <v>113</v>
      </c>
      <c r="D19" s="28">
        <v>0.25</v>
      </c>
      <c r="E19" s="28">
        <v>0.25</v>
      </c>
      <c r="F19" s="29" t="s">
        <v>20</v>
      </c>
      <c r="G19" s="30" t="s">
        <v>12</v>
      </c>
      <c r="H19" s="38"/>
      <c r="I19" s="87" t="s">
        <v>40</v>
      </c>
      <c r="J19" s="22"/>
    </row>
    <row r="20" spans="2:10" ht="18.75" customHeight="1" x14ac:dyDescent="0.25">
      <c r="B20" s="32">
        <v>16</v>
      </c>
      <c r="C20" s="10" t="s">
        <v>114</v>
      </c>
      <c r="D20" s="33">
        <v>0.4</v>
      </c>
      <c r="E20" s="33">
        <v>0.4</v>
      </c>
      <c r="F20" s="34" t="s">
        <v>23</v>
      </c>
      <c r="G20" s="35" t="s">
        <v>21</v>
      </c>
      <c r="H20" s="40" t="s">
        <v>41</v>
      </c>
      <c r="I20" s="88" t="s">
        <v>42</v>
      </c>
      <c r="J20" s="22"/>
    </row>
    <row r="21" spans="2:10" ht="24.75" x14ac:dyDescent="0.25">
      <c r="B21" s="37">
        <v>17</v>
      </c>
      <c r="C21" s="13" t="s">
        <v>115</v>
      </c>
      <c r="D21" s="28">
        <v>0.25</v>
      </c>
      <c r="E21" s="28">
        <v>0.25</v>
      </c>
      <c r="F21" s="29">
        <v>1000</v>
      </c>
      <c r="G21" s="30" t="s">
        <v>21</v>
      </c>
      <c r="H21" s="38" t="s">
        <v>43</v>
      </c>
      <c r="I21" s="87" t="s">
        <v>44</v>
      </c>
      <c r="J21" s="22"/>
    </row>
    <row r="22" spans="2:10" ht="25.5" customHeight="1" x14ac:dyDescent="0.25">
      <c r="B22" s="32">
        <v>18</v>
      </c>
      <c r="C22" s="10" t="s">
        <v>116</v>
      </c>
      <c r="D22" s="33">
        <v>0.25</v>
      </c>
      <c r="E22" s="33">
        <v>0.25</v>
      </c>
      <c r="F22" s="34" t="s">
        <v>45</v>
      </c>
      <c r="G22" s="35" t="s">
        <v>21</v>
      </c>
      <c r="H22" s="40" t="s">
        <v>46</v>
      </c>
      <c r="I22" s="88" t="s">
        <v>47</v>
      </c>
      <c r="J22" s="22"/>
    </row>
    <row r="23" spans="2:10" ht="18.75" customHeight="1" x14ac:dyDescent="0.25">
      <c r="B23" s="37">
        <v>19</v>
      </c>
      <c r="C23" s="13" t="s">
        <v>117</v>
      </c>
      <c r="D23" s="28">
        <v>0.25</v>
      </c>
      <c r="E23" s="28">
        <v>0.25</v>
      </c>
      <c r="F23" s="29">
        <v>5000</v>
      </c>
      <c r="G23" s="30" t="s">
        <v>12</v>
      </c>
      <c r="H23" s="38"/>
      <c r="I23" s="87" t="s">
        <v>48</v>
      </c>
      <c r="J23" s="22"/>
    </row>
    <row r="24" spans="2:10" ht="21.75" customHeight="1" x14ac:dyDescent="0.25">
      <c r="B24" s="41">
        <v>20</v>
      </c>
      <c r="C24" s="394" t="s">
        <v>49</v>
      </c>
      <c r="D24" s="42" t="s">
        <v>30</v>
      </c>
      <c r="E24" s="42"/>
      <c r="F24" s="42"/>
      <c r="G24" s="42"/>
      <c r="H24" s="43"/>
      <c r="I24" s="88" t="s">
        <v>50</v>
      </c>
      <c r="J24" s="22"/>
    </row>
    <row r="25" spans="2:10" ht="18.75" customHeight="1" x14ac:dyDescent="0.25">
      <c r="B25" s="37">
        <v>21</v>
      </c>
      <c r="C25" s="13" t="s">
        <v>118</v>
      </c>
      <c r="D25" s="28">
        <v>0.25</v>
      </c>
      <c r="E25" s="28">
        <v>0.25</v>
      </c>
      <c r="F25" s="29" t="s">
        <v>23</v>
      </c>
      <c r="G25" s="30" t="s">
        <v>21</v>
      </c>
      <c r="H25" s="38" t="s">
        <v>51</v>
      </c>
      <c r="I25" s="87" t="s">
        <v>52</v>
      </c>
      <c r="J25" s="22"/>
    </row>
    <row r="26" spans="2:10" ht="18.75" customHeight="1" x14ac:dyDescent="0.25">
      <c r="B26" s="32">
        <v>22</v>
      </c>
      <c r="C26" s="10" t="s">
        <v>119</v>
      </c>
      <c r="D26" s="33">
        <v>0.4</v>
      </c>
      <c r="E26" s="33">
        <v>0.25</v>
      </c>
      <c r="F26" s="34" t="s">
        <v>23</v>
      </c>
      <c r="G26" s="35" t="s">
        <v>21</v>
      </c>
      <c r="H26" s="40"/>
      <c r="I26" s="88" t="s">
        <v>53</v>
      </c>
      <c r="J26" s="22"/>
    </row>
    <row r="27" spans="2:10" ht="18.75" customHeight="1" x14ac:dyDescent="0.25">
      <c r="B27" s="44">
        <v>23</v>
      </c>
      <c r="C27" s="11" t="s">
        <v>120</v>
      </c>
      <c r="D27" s="45">
        <v>0.25</v>
      </c>
      <c r="E27" s="45">
        <v>0.25</v>
      </c>
      <c r="F27" s="46">
        <v>4500</v>
      </c>
      <c r="G27" s="47" t="s">
        <v>12</v>
      </c>
      <c r="H27" s="48"/>
      <c r="I27" s="89" t="s">
        <v>54</v>
      </c>
      <c r="J27" s="22"/>
    </row>
    <row r="28" spans="2:10" ht="18.75" customHeight="1" x14ac:dyDescent="0.25">
      <c r="B28" s="49">
        <v>24</v>
      </c>
      <c r="C28" s="2" t="s">
        <v>121</v>
      </c>
      <c r="D28" s="50">
        <v>0.25</v>
      </c>
      <c r="E28" s="50">
        <v>0.25</v>
      </c>
      <c r="F28" s="51" t="s">
        <v>23</v>
      </c>
      <c r="G28" s="52" t="s">
        <v>21</v>
      </c>
      <c r="H28" s="53"/>
      <c r="I28" s="90" t="s">
        <v>55</v>
      </c>
      <c r="J28" s="22"/>
    </row>
    <row r="29" spans="2:10" ht="18.75" customHeight="1" x14ac:dyDescent="0.25">
      <c r="B29" s="44">
        <v>25</v>
      </c>
      <c r="C29" s="11" t="s">
        <v>122</v>
      </c>
      <c r="D29" s="45">
        <v>0.25</v>
      </c>
      <c r="E29" s="45">
        <v>0.25</v>
      </c>
      <c r="F29" s="46" t="s">
        <v>20</v>
      </c>
      <c r="G29" s="47" t="s">
        <v>21</v>
      </c>
      <c r="H29" s="48"/>
      <c r="I29" s="89" t="s">
        <v>56</v>
      </c>
      <c r="J29" s="22"/>
    </row>
    <row r="30" spans="2:10" ht="18.75" customHeight="1" x14ac:dyDescent="0.25">
      <c r="B30" s="49">
        <v>26</v>
      </c>
      <c r="C30" s="2" t="s">
        <v>123</v>
      </c>
      <c r="D30" s="50">
        <v>0.4</v>
      </c>
      <c r="E30" s="50">
        <v>0.4</v>
      </c>
      <c r="F30" s="51" t="s">
        <v>20</v>
      </c>
      <c r="G30" s="52" t="s">
        <v>12</v>
      </c>
      <c r="H30" s="53" t="s">
        <v>57</v>
      </c>
      <c r="I30" s="90" t="s">
        <v>58</v>
      </c>
      <c r="J30" s="22"/>
    </row>
    <row r="31" spans="2:10" ht="18.75" customHeight="1" x14ac:dyDescent="0.25">
      <c r="B31" s="44">
        <v>27</v>
      </c>
      <c r="C31" s="91" t="s">
        <v>124</v>
      </c>
      <c r="D31" s="45">
        <v>0.25</v>
      </c>
      <c r="E31" s="45">
        <v>0.25</v>
      </c>
      <c r="F31" s="46">
        <v>500</v>
      </c>
      <c r="G31" s="47" t="s">
        <v>12</v>
      </c>
      <c r="H31" s="48"/>
      <c r="I31" s="89" t="s">
        <v>59</v>
      </c>
      <c r="J31" s="22"/>
    </row>
    <row r="32" spans="2:10" ht="18.75" customHeight="1" x14ac:dyDescent="0.25">
      <c r="B32" s="49">
        <v>28</v>
      </c>
      <c r="C32" s="2" t="s">
        <v>125</v>
      </c>
      <c r="D32" s="50">
        <v>0.25</v>
      </c>
      <c r="E32" s="50">
        <v>0.25</v>
      </c>
      <c r="F32" s="51">
        <v>1000</v>
      </c>
      <c r="G32" s="52" t="s">
        <v>12</v>
      </c>
      <c r="H32" s="53"/>
      <c r="I32" s="90" t="s">
        <v>60</v>
      </c>
      <c r="J32" s="22"/>
    </row>
    <row r="33" spans="2:10" ht="27" customHeight="1" x14ac:dyDescent="0.25">
      <c r="B33" s="44">
        <v>29</v>
      </c>
      <c r="C33" s="11" t="s">
        <v>126</v>
      </c>
      <c r="D33" s="45">
        <v>0.25</v>
      </c>
      <c r="E33" s="45">
        <v>0.25</v>
      </c>
      <c r="F33" s="46" t="s">
        <v>23</v>
      </c>
      <c r="G33" s="47" t="s">
        <v>61</v>
      </c>
      <c r="H33" s="48" t="s">
        <v>35</v>
      </c>
      <c r="I33" s="89" t="s">
        <v>62</v>
      </c>
      <c r="J33" s="22"/>
    </row>
    <row r="34" spans="2:10" ht="18.75" customHeight="1" x14ac:dyDescent="0.25">
      <c r="B34" s="49">
        <v>30</v>
      </c>
      <c r="C34" s="2" t="s">
        <v>127</v>
      </c>
      <c r="D34" s="50">
        <v>0.15</v>
      </c>
      <c r="E34" s="50">
        <v>0.15</v>
      </c>
      <c r="F34" s="51">
        <v>1500</v>
      </c>
      <c r="G34" s="52" t="s">
        <v>12</v>
      </c>
      <c r="H34" s="53"/>
      <c r="I34" s="90" t="s">
        <v>63</v>
      </c>
      <c r="J34" s="22"/>
    </row>
    <row r="35" spans="2:10" ht="18.75" customHeight="1" x14ac:dyDescent="0.25">
      <c r="B35" s="44">
        <v>31</v>
      </c>
      <c r="C35" s="13" t="s">
        <v>423</v>
      </c>
      <c r="D35" s="45">
        <v>0.05</v>
      </c>
      <c r="E35" s="45">
        <v>0.05</v>
      </c>
      <c r="F35" s="45"/>
      <c r="G35" s="45"/>
      <c r="H35" s="48"/>
      <c r="I35" s="89" t="s">
        <v>64</v>
      </c>
      <c r="J35" s="22"/>
    </row>
    <row r="36" spans="2:10" ht="27.75" customHeight="1" x14ac:dyDescent="0.25">
      <c r="B36" s="49">
        <v>32</v>
      </c>
      <c r="C36" s="2" t="s">
        <v>128</v>
      </c>
      <c r="D36" s="50">
        <v>0.45</v>
      </c>
      <c r="E36" s="50">
        <v>0.45</v>
      </c>
      <c r="F36" s="51" t="s">
        <v>23</v>
      </c>
      <c r="G36" s="52" t="s">
        <v>21</v>
      </c>
      <c r="H36" s="53" t="s">
        <v>65</v>
      </c>
      <c r="I36" s="90" t="s">
        <v>66</v>
      </c>
      <c r="J36" s="22"/>
    </row>
    <row r="37" spans="2:10" ht="18.75" customHeight="1" x14ac:dyDescent="0.25">
      <c r="B37" s="54">
        <v>33</v>
      </c>
      <c r="C37" s="395" t="s">
        <v>67</v>
      </c>
      <c r="D37" s="55" t="s">
        <v>30</v>
      </c>
      <c r="E37" s="55"/>
      <c r="F37" s="56"/>
      <c r="G37" s="57"/>
      <c r="H37" s="58"/>
      <c r="I37" s="89" t="s">
        <v>68</v>
      </c>
      <c r="J37" s="22"/>
    </row>
    <row r="38" spans="2:10" ht="18.75" customHeight="1" x14ac:dyDescent="0.25">
      <c r="B38" s="59">
        <v>34</v>
      </c>
      <c r="C38" s="396" t="s">
        <v>69</v>
      </c>
      <c r="D38" s="61" t="s">
        <v>30</v>
      </c>
      <c r="E38" s="61"/>
      <c r="F38" s="62"/>
      <c r="G38" s="63"/>
      <c r="H38" s="64"/>
      <c r="I38" s="90" t="s">
        <v>70</v>
      </c>
      <c r="J38" s="22"/>
    </row>
    <row r="39" spans="2:10" ht="18.75" customHeight="1" x14ac:dyDescent="0.25">
      <c r="B39" s="44">
        <v>35</v>
      </c>
      <c r="C39" s="11" t="s">
        <v>129</v>
      </c>
      <c r="D39" s="45">
        <v>0.25</v>
      </c>
      <c r="E39" s="45">
        <v>0.25</v>
      </c>
      <c r="F39" s="46" t="s">
        <v>23</v>
      </c>
      <c r="G39" s="47" t="s">
        <v>12</v>
      </c>
      <c r="H39" s="48"/>
      <c r="I39" s="89" t="s">
        <v>71</v>
      </c>
      <c r="J39" s="22"/>
    </row>
    <row r="40" spans="2:10" ht="18.75" customHeight="1" x14ac:dyDescent="0.25">
      <c r="B40" s="49">
        <v>36</v>
      </c>
      <c r="C40" s="396" t="s">
        <v>72</v>
      </c>
      <c r="D40" s="60" t="s">
        <v>30</v>
      </c>
      <c r="E40" s="50"/>
      <c r="F40" s="50"/>
      <c r="G40" s="50"/>
      <c r="H40" s="53"/>
      <c r="I40" s="90" t="s">
        <v>73</v>
      </c>
      <c r="J40" s="22"/>
    </row>
    <row r="41" spans="2:10" ht="18.75" customHeight="1" x14ac:dyDescent="0.25">
      <c r="B41" s="44">
        <v>37</v>
      </c>
      <c r="C41" s="9" t="s">
        <v>130</v>
      </c>
      <c r="D41" s="45">
        <v>0.25</v>
      </c>
      <c r="E41" s="45">
        <v>0.25</v>
      </c>
      <c r="F41" s="46" t="s">
        <v>20</v>
      </c>
      <c r="G41" s="47" t="s">
        <v>61</v>
      </c>
      <c r="H41" s="48"/>
      <c r="I41" s="89" t="s">
        <v>74</v>
      </c>
      <c r="J41" s="22"/>
    </row>
    <row r="42" spans="2:10" ht="18.75" customHeight="1" x14ac:dyDescent="0.25">
      <c r="B42" s="49">
        <v>38</v>
      </c>
      <c r="C42" s="12" t="s">
        <v>131</v>
      </c>
      <c r="D42" s="50">
        <v>0.25</v>
      </c>
      <c r="E42" s="50">
        <v>0.25</v>
      </c>
      <c r="F42" s="51">
        <v>5000</v>
      </c>
      <c r="G42" s="52" t="s">
        <v>12</v>
      </c>
      <c r="H42" s="53"/>
      <c r="I42" s="90" t="s">
        <v>75</v>
      </c>
      <c r="J42" s="22"/>
    </row>
    <row r="43" spans="2:10" ht="18.75" customHeight="1" x14ac:dyDescent="0.25">
      <c r="B43" s="44">
        <v>39</v>
      </c>
      <c r="C43" s="9" t="s">
        <v>132</v>
      </c>
      <c r="D43" s="45">
        <v>0.25</v>
      </c>
      <c r="E43" s="45">
        <v>0.25</v>
      </c>
      <c r="F43" s="46">
        <v>4500</v>
      </c>
      <c r="G43" s="47" t="s">
        <v>12</v>
      </c>
      <c r="H43" s="48"/>
      <c r="I43" s="89" t="s">
        <v>76</v>
      </c>
      <c r="J43" s="22"/>
    </row>
    <row r="44" spans="2:10" ht="18.75" customHeight="1" x14ac:dyDescent="0.25">
      <c r="B44" s="49">
        <v>40</v>
      </c>
      <c r="C44" s="12" t="s">
        <v>133</v>
      </c>
      <c r="D44" s="50">
        <v>0.25</v>
      </c>
      <c r="E44" s="50">
        <v>0.25</v>
      </c>
      <c r="F44" s="51" t="s">
        <v>23</v>
      </c>
      <c r="G44" s="52" t="s">
        <v>12</v>
      </c>
      <c r="H44" s="53"/>
      <c r="I44" s="90" t="s">
        <v>77</v>
      </c>
      <c r="J44" s="22"/>
    </row>
    <row r="45" spans="2:10" ht="18.75" customHeight="1" x14ac:dyDescent="0.25">
      <c r="B45" s="44">
        <v>41</v>
      </c>
      <c r="C45" s="9" t="s">
        <v>134</v>
      </c>
      <c r="D45" s="45">
        <v>0.25</v>
      </c>
      <c r="E45" s="45">
        <v>0.25</v>
      </c>
      <c r="F45" s="46" t="s">
        <v>20</v>
      </c>
      <c r="G45" s="47" t="s">
        <v>12</v>
      </c>
      <c r="H45" s="48"/>
      <c r="I45" s="89" t="s">
        <v>78</v>
      </c>
      <c r="J45" s="22"/>
    </row>
    <row r="46" spans="2:10" ht="18.75" customHeight="1" x14ac:dyDescent="0.25">
      <c r="B46" s="49">
        <v>42</v>
      </c>
      <c r="C46" s="12" t="s">
        <v>135</v>
      </c>
      <c r="D46" s="50">
        <v>0.4</v>
      </c>
      <c r="E46" s="50">
        <v>0.4</v>
      </c>
      <c r="F46" s="51" t="s">
        <v>79</v>
      </c>
      <c r="G46" s="52" t="s">
        <v>21</v>
      </c>
      <c r="H46" s="53"/>
      <c r="I46" s="90" t="s">
        <v>80</v>
      </c>
      <c r="J46" s="22"/>
    </row>
    <row r="47" spans="2:10" ht="18.75" customHeight="1" x14ac:dyDescent="0.25">
      <c r="B47" s="44">
        <v>43</v>
      </c>
      <c r="C47" s="9" t="s">
        <v>136</v>
      </c>
      <c r="D47" s="45">
        <v>0.25</v>
      </c>
      <c r="E47" s="45">
        <v>0.25</v>
      </c>
      <c r="F47" s="46">
        <v>3500</v>
      </c>
      <c r="G47" s="47" t="s">
        <v>12</v>
      </c>
      <c r="H47" s="48"/>
      <c r="I47" s="89" t="s">
        <v>81</v>
      </c>
      <c r="J47" s="22"/>
    </row>
    <row r="48" spans="2:10" ht="18.75" customHeight="1" x14ac:dyDescent="0.25">
      <c r="B48" s="49">
        <v>44</v>
      </c>
      <c r="C48" s="12" t="s">
        <v>137</v>
      </c>
      <c r="D48" s="50">
        <v>0.25</v>
      </c>
      <c r="E48" s="50">
        <v>0.25</v>
      </c>
      <c r="F48" s="51" t="s">
        <v>23</v>
      </c>
      <c r="G48" s="52" t="s">
        <v>12</v>
      </c>
      <c r="H48" s="53"/>
      <c r="I48" s="90" t="s">
        <v>82</v>
      </c>
      <c r="J48" s="22"/>
    </row>
    <row r="49" spans="2:10" ht="27" customHeight="1" x14ac:dyDescent="0.25">
      <c r="B49" s="44">
        <v>45</v>
      </c>
      <c r="C49" s="9" t="s">
        <v>138</v>
      </c>
      <c r="D49" s="45">
        <v>0.15</v>
      </c>
      <c r="E49" s="45">
        <v>0.15</v>
      </c>
      <c r="F49" s="46">
        <v>3500</v>
      </c>
      <c r="G49" s="47" t="s">
        <v>12</v>
      </c>
      <c r="H49" s="48" t="s">
        <v>83</v>
      </c>
      <c r="I49" s="89" t="s">
        <v>84</v>
      </c>
      <c r="J49" s="22"/>
    </row>
    <row r="50" spans="2:10" ht="18.75" customHeight="1" x14ac:dyDescent="0.25">
      <c r="B50" s="59">
        <v>46</v>
      </c>
      <c r="C50" s="397" t="s">
        <v>85</v>
      </c>
      <c r="D50" s="65" t="s">
        <v>30</v>
      </c>
      <c r="E50" s="65"/>
      <c r="F50" s="65"/>
      <c r="G50" s="65"/>
      <c r="H50" s="66"/>
      <c r="I50" s="90" t="s">
        <v>86</v>
      </c>
      <c r="J50" s="22"/>
    </row>
    <row r="51" spans="2:10" ht="18.75" customHeight="1" x14ac:dyDescent="0.25">
      <c r="B51" s="44">
        <v>47</v>
      </c>
      <c r="C51" s="9" t="s">
        <v>139</v>
      </c>
      <c r="D51" s="45">
        <v>0.25</v>
      </c>
      <c r="E51" s="45">
        <v>0.25</v>
      </c>
      <c r="F51" s="46">
        <v>5000</v>
      </c>
      <c r="G51" s="47" t="s">
        <v>12</v>
      </c>
      <c r="H51" s="48"/>
      <c r="I51" s="89" t="s">
        <v>87</v>
      </c>
      <c r="J51" s="22"/>
    </row>
    <row r="52" spans="2:10" ht="18.75" customHeight="1" x14ac:dyDescent="0.25">
      <c r="B52" s="49">
        <v>48</v>
      </c>
      <c r="C52" s="396" t="s">
        <v>88</v>
      </c>
      <c r="D52" s="60" t="s">
        <v>30</v>
      </c>
      <c r="E52" s="50"/>
      <c r="F52" s="50"/>
      <c r="G52" s="50"/>
      <c r="H52" s="53"/>
      <c r="I52" s="90" t="s">
        <v>89</v>
      </c>
      <c r="J52" s="22"/>
    </row>
    <row r="53" spans="2:10" ht="18.75" customHeight="1" x14ac:dyDescent="0.25">
      <c r="B53" s="54">
        <v>49</v>
      </c>
      <c r="C53" s="398" t="s">
        <v>90</v>
      </c>
      <c r="D53" s="67" t="s">
        <v>30</v>
      </c>
      <c r="E53" s="67"/>
      <c r="F53" s="67"/>
      <c r="G53" s="67"/>
      <c r="H53" s="68"/>
      <c r="I53" s="89" t="s">
        <v>91</v>
      </c>
      <c r="J53" s="22"/>
    </row>
    <row r="54" spans="2:10" ht="18.75" customHeight="1" thickBot="1" x14ac:dyDescent="0.3">
      <c r="B54" s="69"/>
      <c r="C54" s="70"/>
      <c r="D54" s="71"/>
      <c r="E54" s="71"/>
      <c r="F54" s="71"/>
      <c r="G54" s="71"/>
      <c r="H54" s="72"/>
      <c r="I54" s="73"/>
      <c r="J54" s="22"/>
    </row>
    <row r="55" spans="2:10" ht="18.75" customHeight="1" thickBot="1" x14ac:dyDescent="0.3">
      <c r="B55" s="74" t="s">
        <v>9</v>
      </c>
      <c r="C55" s="75" t="s">
        <v>10</v>
      </c>
      <c r="D55" s="76" t="s">
        <v>11</v>
      </c>
      <c r="E55" s="487" t="s">
        <v>25</v>
      </c>
      <c r="F55" s="488"/>
      <c r="G55" s="488"/>
      <c r="H55" s="489"/>
      <c r="I55" s="260" t="s">
        <v>95</v>
      </c>
      <c r="J55" s="22"/>
    </row>
    <row r="56" spans="2:10" ht="18.75" customHeight="1" thickBot="1" x14ac:dyDescent="0.3">
      <c r="B56" s="77" t="s">
        <v>15</v>
      </c>
      <c r="C56" s="78">
        <v>3501</v>
      </c>
      <c r="D56" s="79">
        <v>21172</v>
      </c>
      <c r="E56" s="490"/>
      <c r="F56" s="491"/>
      <c r="G56" s="491"/>
      <c r="H56" s="492"/>
      <c r="I56" s="260" t="s">
        <v>96</v>
      </c>
      <c r="J56" s="22"/>
    </row>
    <row r="57" spans="2:10" ht="18.75" customHeight="1" x14ac:dyDescent="0.25">
      <c r="B57" s="80" t="s">
        <v>140</v>
      </c>
      <c r="C57" s="78">
        <v>3001</v>
      </c>
      <c r="D57" s="81">
        <v>35750</v>
      </c>
      <c r="E57" s="490"/>
      <c r="F57" s="491"/>
      <c r="G57" s="491"/>
      <c r="H57" s="492"/>
      <c r="I57" s="237"/>
      <c r="J57" s="22"/>
    </row>
    <row r="58" spans="2:10" ht="18.75" customHeight="1" thickBot="1" x14ac:dyDescent="0.3">
      <c r="B58" s="82" t="s">
        <v>17</v>
      </c>
      <c r="C58" s="83">
        <v>3801</v>
      </c>
      <c r="D58" s="84">
        <v>29114</v>
      </c>
      <c r="E58" s="493"/>
      <c r="F58" s="494"/>
      <c r="G58" s="494"/>
      <c r="H58" s="495"/>
      <c r="I58" s="200"/>
      <c r="J58" s="22"/>
    </row>
    <row r="59" spans="2:10" ht="18.75" customHeight="1" x14ac:dyDescent="0.25">
      <c r="B59" s="85"/>
      <c r="C59" s="85" t="s">
        <v>13</v>
      </c>
      <c r="D59" s="85"/>
      <c r="E59" s="71"/>
      <c r="F59" s="71"/>
      <c r="G59" s="71"/>
      <c r="H59" s="72"/>
      <c r="I59" s="86"/>
      <c r="J59" s="22"/>
    </row>
    <row r="60" spans="2:10" ht="18.75" customHeight="1" x14ac:dyDescent="0.25">
      <c r="E60" s="71"/>
      <c r="F60" s="71"/>
      <c r="G60" s="71"/>
      <c r="H60" s="72"/>
      <c r="I60" s="86"/>
      <c r="J60" s="22"/>
    </row>
    <row r="61" spans="2:10" ht="18.75" customHeight="1" x14ac:dyDescent="0.25">
      <c r="E61" s="71"/>
      <c r="F61" s="71"/>
      <c r="G61" s="71"/>
      <c r="H61" s="72"/>
      <c r="I61" s="86"/>
      <c r="J61" s="22"/>
    </row>
    <row r="62" spans="2:10" ht="18.75" customHeight="1" x14ac:dyDescent="0.25">
      <c r="E62" s="71"/>
      <c r="F62" s="71"/>
      <c r="G62" s="71"/>
      <c r="H62" s="72"/>
      <c r="I62" s="86"/>
      <c r="J62" s="22"/>
    </row>
    <row r="63" spans="2:10" ht="18.75" customHeight="1" x14ac:dyDescent="0.25">
      <c r="E63" s="71"/>
      <c r="F63" s="71"/>
      <c r="G63" s="71"/>
      <c r="H63" s="72"/>
      <c r="I63" s="86"/>
      <c r="J63" s="22"/>
    </row>
    <row r="64" spans="2:10" ht="18.75" customHeight="1" x14ac:dyDescent="0.25">
      <c r="J64" s="22"/>
    </row>
    <row r="65" spans="10:10" ht="18.75" customHeight="1" x14ac:dyDescent="0.25">
      <c r="J65" s="22"/>
    </row>
  </sheetData>
  <sheetProtection algorithmName="SHA-512" hashValue="I1eT86JNkAhQ1jWknrpPZ14x+CFPVa08yGOb+8vg0S4yzd3TWsJ8tB0uVvuV3kMkoqf8kBlvGit9o1pVL1U7Hg==" saltValue="l3KENPOvWIN1+HBkIZ4zcQ==" spinCount="100000" sheet="1" objects="1" scenarios="1"/>
  <mergeCells count="1">
    <mergeCell ref="E55:H58"/>
  </mergeCells>
  <hyperlinks>
    <hyperlink ref="I3" r:id="rId1" display="https://www.ncci.com/nccimain/pages/default.aspx" xr:uid="{00000000-0004-0000-0100-000000000000}"/>
    <hyperlink ref="I4" r:id="rId2" display="https://www.ncci.com/nccimain/pages/default.aspx" xr:uid="{00000000-0004-0000-0100-000001000000}"/>
    <hyperlink ref="I6" r:id="rId3" display="https://www.ncci.com/nccimain/pages/default.aspx" xr:uid="{00000000-0004-0000-0100-000002000000}"/>
    <hyperlink ref="I5" r:id="rId4" display="https://www.ncci.com/nccimain/pages/default.aspx" xr:uid="{00000000-0004-0000-0100-000003000000}"/>
    <hyperlink ref="I7" r:id="rId5" display="https://wcirbonline.org/wcirb/" xr:uid="{00000000-0004-0000-0100-000004000000}"/>
    <hyperlink ref="I8" r:id="rId6" display="https://www.ncci.com/nccimain/pages/default.aspx" xr:uid="{00000000-0004-0000-0100-000005000000}"/>
    <hyperlink ref="I9" r:id="rId7" display="https://www.ncci.com/nccimain/pages/default.aspx" xr:uid="{00000000-0004-0000-0100-000006000000}"/>
    <hyperlink ref="I10" r:id="rId8" display="http://www.dcrb.com/" xr:uid="{00000000-0004-0000-0100-000007000000}"/>
    <hyperlink ref="I11" r:id="rId9" display="https://www.ncci.com/nccimain/pages/default.aspx" xr:uid="{00000000-0004-0000-0100-000008000000}"/>
    <hyperlink ref="I12" r:id="rId10" display="https://www.ncci.com/nccimain/pages/default.aspx" xr:uid="{00000000-0004-0000-0100-000009000000}"/>
    <hyperlink ref="I13" r:id="rId11" display="https://www.ncci.com/nccimain/pages/default.aspx" xr:uid="{00000000-0004-0000-0100-00000A000000}"/>
    <hyperlink ref="I14" r:id="rId12" display="https://www.ncci.com/nccimain/pages/default.aspx" xr:uid="{00000000-0004-0000-0100-00000B000000}"/>
    <hyperlink ref="I15" r:id="rId13" display="https://www.ncci.com/nccimain/pages/default.aspx" xr:uid="{00000000-0004-0000-0100-00000C000000}"/>
    <hyperlink ref="I16" r:id="rId14" display="https://www.ncci.com/nccimain/pages/default.aspx" xr:uid="{00000000-0004-0000-0100-00000D000000}"/>
    <hyperlink ref="I17" r:id="rId15" display="http://www.icrb.net/" xr:uid="{00000000-0004-0000-0100-00000E000000}"/>
    <hyperlink ref="I18" r:id="rId16" display="https://www.ncci.com/nccimain/pages/default.aspx" xr:uid="{00000000-0004-0000-0100-00000F000000}"/>
    <hyperlink ref="I19" r:id="rId17" display="https://www.ncci.com/nccimain/pages/default.aspx" xr:uid="{00000000-0004-0000-0100-000010000000}"/>
    <hyperlink ref="I20" r:id="rId18" display="https://www.ncci.com/nccimain/pages/default.aspx" xr:uid="{00000000-0004-0000-0100-000011000000}"/>
    <hyperlink ref="I21" r:id="rId19" display="https://www.ncci.com/nccimain/pages/default.aspx" xr:uid="{00000000-0004-0000-0100-000012000000}"/>
    <hyperlink ref="I22" r:id="rId20" display="https://www.ncci.com/nccimain/pages/default.aspx" xr:uid="{00000000-0004-0000-0100-000013000000}"/>
    <hyperlink ref="I23" r:id="rId21" display="https://www.ncci.com/nccimain/pages/default.aspx" xr:uid="{00000000-0004-0000-0100-000014000000}"/>
    <hyperlink ref="I24" r:id="rId22" display="https://www.wcribma.org/mass/" xr:uid="{00000000-0004-0000-0100-000015000000}"/>
    <hyperlink ref="I25" r:id="rId23" display="http://www.caom.com/" xr:uid="{00000000-0004-0000-0100-000016000000}"/>
    <hyperlink ref="I26" r:id="rId24" display="http://www.mwcia.org/" xr:uid="{00000000-0004-0000-0100-000017000000}"/>
    <hyperlink ref="I27" r:id="rId25" display="https://www.ncci.com/nccimain/pages/default.aspx" xr:uid="{00000000-0004-0000-0100-000018000000}"/>
    <hyperlink ref="I28" r:id="rId26" display="https://www.ncci.com/nccimain/pages/default.aspx" xr:uid="{00000000-0004-0000-0100-000019000000}"/>
    <hyperlink ref="I29" r:id="rId27" display="https://www.ncci.com/nccimain/pages/default.aspx" xr:uid="{00000000-0004-0000-0100-00001A000000}"/>
    <hyperlink ref="I30" r:id="rId28" display="https://www.ncci.com/nccimain/pages/default.aspx" xr:uid="{00000000-0004-0000-0100-00001B000000}"/>
    <hyperlink ref="I32" r:id="rId29" display="https://www.ncci.com/nccimain/pages/default.aspx" xr:uid="{00000000-0004-0000-0100-00001C000000}"/>
    <hyperlink ref="I33" r:id="rId30" display="http://www.njcrib.com/" xr:uid="{00000000-0004-0000-0100-00001D000000}"/>
    <hyperlink ref="I34" r:id="rId31" display="https://www.ncci.com/nccimain/pages/default.aspx" xr:uid="{00000000-0004-0000-0100-00001E000000}"/>
    <hyperlink ref="I35" r:id="rId32" display="http://www.nycirb.org/" xr:uid="{00000000-0004-0000-0100-00001F000000}"/>
    <hyperlink ref="I31" r:id="rId33" display="https://www.ncci.com/nccimain/pages/default.aspx" xr:uid="{00000000-0004-0000-0100-000020000000}"/>
    <hyperlink ref="I36" r:id="rId34" display="http://www.ncrb.org/ncorg/" xr:uid="{00000000-0004-0000-0100-000021000000}"/>
    <hyperlink ref="I37" r:id="rId35" display="http://www.workforcesafety.com/" xr:uid="{00000000-0004-0000-0100-000022000000}"/>
    <hyperlink ref="I38" r:id="rId36" display="http://www.bwc.state.oh.us/default.aspx" xr:uid="{00000000-0004-0000-0100-000023000000}"/>
    <hyperlink ref="I39" r:id="rId37" display="https://www.ncci.com/nccimain/pages/default.aspx" xr:uid="{00000000-0004-0000-0100-000024000000}"/>
    <hyperlink ref="I40" r:id="rId38" display="https://www.ncci.com/nccimain/pages/default.aspx" xr:uid="{00000000-0004-0000-0100-000025000000}"/>
    <hyperlink ref="I41" r:id="rId39" display="http://www.pcrb.com/" xr:uid="{00000000-0004-0000-0100-000026000000}"/>
    <hyperlink ref="I42" r:id="rId40" display="https://www.ncci.com/nccimain/pages/default.aspx" xr:uid="{00000000-0004-0000-0100-000027000000}"/>
    <hyperlink ref="I43" r:id="rId41" display="https://www.ncci.com/nccimain/pages/default.aspx" xr:uid="{00000000-0004-0000-0100-000028000000}"/>
    <hyperlink ref="I44" r:id="rId42" display="https://www.ncci.com/nccimain/pages/default.aspx" xr:uid="{00000000-0004-0000-0100-000029000000}"/>
    <hyperlink ref="I45" r:id="rId43" display="https://www.ncci.com/nccimain/pages/default.aspx" xr:uid="{00000000-0004-0000-0100-00002A000000}"/>
    <hyperlink ref="I46" r:id="rId44" display="http://www.tdi.texas.gov/wc/indexwc.html" xr:uid="{00000000-0004-0000-0100-00002B000000}"/>
    <hyperlink ref="I47" r:id="rId45" display="https://www.ncci.com/nccimain/pages/default.aspx" xr:uid="{00000000-0004-0000-0100-00002C000000}"/>
    <hyperlink ref="I48" r:id="rId46" display="https://www.ncci.com/nccimain/pages/default.aspx" xr:uid="{00000000-0004-0000-0100-00002D000000}"/>
    <hyperlink ref="I49" r:id="rId47" display="https://www.ncci.com/nccimain/pages/default.aspx" xr:uid="{00000000-0004-0000-0100-00002E000000}"/>
    <hyperlink ref="I50" r:id="rId48" display="http://www.lni.wa.gov/" xr:uid="{00000000-0004-0000-0100-00002F000000}"/>
    <hyperlink ref="I51" r:id="rId49" display="https://www.ncci.com/nccimain/pages/default.aspx" xr:uid="{00000000-0004-0000-0100-000030000000}"/>
    <hyperlink ref="I52" r:id="rId50" display="https://www.wcrb.org/wcrb/wcrbhome.htm" xr:uid="{00000000-0004-0000-0100-000031000000}"/>
    <hyperlink ref="I53" r:id="rId51" display="http://doe.wyo.gov/Pages/default.aspx" xr:uid="{00000000-0004-0000-0100-000032000000}"/>
    <hyperlink ref="I55" location="'Additional Info'!B54" display="CLICK HERE to Edit or Add to UW reasons" xr:uid="{00000000-0004-0000-0100-000033000000}"/>
    <hyperlink ref="I56" location="'Additional Info'!E13" display="CLICK HERE to Edit or Add to Underwriters" xr:uid="{00000000-0004-0000-0100-000034000000}"/>
    <hyperlink ref="C3" location="AL!A1" display="ALABAMA" xr:uid="{00000000-0004-0000-0100-000035000000}"/>
    <hyperlink ref="C5" location="AZ!B8" display="ARIZONA" xr:uid="{00000000-0004-0000-0100-000036000000}"/>
    <hyperlink ref="C6" location="AR!A1" display="ARKANSAS" xr:uid="{00000000-0004-0000-0100-000037000000}"/>
    <hyperlink ref="C7" location="CA!A1" display="CALIFORNIA" xr:uid="{00000000-0004-0000-0100-000038000000}"/>
    <hyperlink ref="C8" location="CO!A1" display="COLORADO" xr:uid="{00000000-0004-0000-0100-000039000000}"/>
    <hyperlink ref="C9" location="CT!A1" display="CONNECTICUT" xr:uid="{00000000-0004-0000-0100-00003A000000}"/>
    <hyperlink ref="C10" location="DE!A1" display="DELAWARE" xr:uid="{00000000-0004-0000-0100-00003B000000}"/>
    <hyperlink ref="C11" location="D.C.!Print_Area" display="DISTRICT OF COLUMBIA          " xr:uid="{00000000-0004-0000-0100-00003C000000}"/>
    <hyperlink ref="C13" location="GA!A1" display="GEORGIA" xr:uid="{00000000-0004-0000-0100-00003D000000}"/>
    <hyperlink ref="C15" location="ID!A1" display="IDAHO" xr:uid="{00000000-0004-0000-0100-00003E000000}"/>
    <hyperlink ref="C16" location="IL!A1" display="ILLINOIS" xr:uid="{00000000-0004-0000-0100-00003F000000}"/>
    <hyperlink ref="C17" location="IN!A1" display="INDIANA" xr:uid="{00000000-0004-0000-0100-000040000000}"/>
    <hyperlink ref="C18" location="IA!A1" display="IOWA" xr:uid="{00000000-0004-0000-0100-000041000000}"/>
    <hyperlink ref="C19" location="KS!A1" display="KANSAS" xr:uid="{00000000-0004-0000-0100-000042000000}"/>
    <hyperlink ref="C20" location="KY!A1" display="KENTUCKY" xr:uid="{00000000-0004-0000-0100-000043000000}"/>
    <hyperlink ref="C21" location="LA!A1" display="LOUISIANA" xr:uid="{00000000-0004-0000-0100-000044000000}"/>
    <hyperlink ref="C22" location="ME!A1" display="MAINE" xr:uid="{00000000-0004-0000-0100-000045000000}"/>
    <hyperlink ref="C23" location="MD!A1" display="MARYLAND" xr:uid="{00000000-0004-0000-0100-000046000000}"/>
    <hyperlink ref="C25" location="MI!A1" display="MICHIGAN" xr:uid="{00000000-0004-0000-0100-000047000000}"/>
    <hyperlink ref="C26" location="MN!A1" display="MINNESOTA" xr:uid="{00000000-0004-0000-0100-000048000000}"/>
    <hyperlink ref="C27" location="MS!A1" display="MISSISSIPPI" xr:uid="{00000000-0004-0000-0100-000049000000}"/>
    <hyperlink ref="C28" location="MO!A1" display="MISSOURI" xr:uid="{00000000-0004-0000-0100-00004A000000}"/>
    <hyperlink ref="C29" location="MT!A1" display="MONTANA" xr:uid="{00000000-0004-0000-0100-00004B000000}"/>
    <hyperlink ref="C31" location="NV!A1" display="NEVADA" xr:uid="{00000000-0004-0000-0100-00004C000000}"/>
    <hyperlink ref="C32" location="NH!A1" display="NEW HAMPSHIRE" xr:uid="{00000000-0004-0000-0100-00004D000000}"/>
    <hyperlink ref="C33" location="NJ!A1" display="NEW JERSEY" xr:uid="{00000000-0004-0000-0100-00004E000000}"/>
    <hyperlink ref="C34" location="NM!A1" display="NEW MEXICO" xr:uid="{00000000-0004-0000-0100-00004F000000}"/>
    <hyperlink ref="C36" location="NC!A1" display="NORTH CAROLINA" xr:uid="{00000000-0004-0000-0100-000050000000}"/>
    <hyperlink ref="C39" location="OK!A1" display="OKLAHOMA" xr:uid="{00000000-0004-0000-0100-000051000000}"/>
    <hyperlink ref="C51" location="WV!A1" display="WEST VIRGINIA" xr:uid="{00000000-0004-0000-0100-000052000000}"/>
    <hyperlink ref="C49" location="VA!A1" display="VIRGINIA" xr:uid="{00000000-0004-0000-0100-000053000000}"/>
    <hyperlink ref="C48" location="VT!A1" display="VERMONT" xr:uid="{00000000-0004-0000-0100-000054000000}"/>
    <hyperlink ref="C47" location="UT!A1" display="UTAH" xr:uid="{00000000-0004-0000-0100-000055000000}"/>
    <hyperlink ref="C46" location="TX!A1" display="TEXAS" xr:uid="{00000000-0004-0000-0100-000056000000}"/>
    <hyperlink ref="C45" location="TN!A1" display="TENNESSEE" xr:uid="{00000000-0004-0000-0100-000057000000}"/>
    <hyperlink ref="C44" location="SD!A1" display="SOUTH DAKOTA" xr:uid="{00000000-0004-0000-0100-000058000000}"/>
    <hyperlink ref="C43" location="SC!A1" display="SOUTH CAROLINA" xr:uid="{00000000-0004-0000-0100-000059000000}"/>
    <hyperlink ref="C42" location="RI!A1" display="RHODE ISLAND" xr:uid="{00000000-0004-0000-0100-00005A000000}"/>
    <hyperlink ref="C41" location="PA!A1" display="PENNSYLVANIA" xr:uid="{00000000-0004-0000-0100-00005B000000}"/>
    <hyperlink ref="C30" location="NE!A1" display="NEBRASKA" xr:uid="{00000000-0004-0000-0100-00005C000000}"/>
    <hyperlink ref="C4" location="AK!A1" display="ALASKA" xr:uid="{00000000-0004-0000-0100-00005D000000}"/>
    <hyperlink ref="C35" location="NY!Print_Area" display="NEW YORK" xr:uid="{00000000-0004-0000-0100-00005E000000}"/>
  </hyperlinks>
  <pageMargins left="0.25" right="0.25" top="0.75" bottom="0.75" header="0.3" footer="0.3"/>
  <pageSetup scale="48" fitToHeight="0" orientation="portrait" r:id="rId52"/>
  <drawing r:id="rId5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9" ht="18" x14ac:dyDescent="0.25">
      <c r="B2" s="502" t="s">
        <v>192</v>
      </c>
      <c r="C2" s="503"/>
      <c r="D2" s="503"/>
      <c r="E2" s="503"/>
      <c r="F2" s="503"/>
      <c r="G2" s="503"/>
    </row>
    <row r="3" spans="2:9" ht="15.75" x14ac:dyDescent="0.25">
      <c r="B3" s="92"/>
      <c r="C3" s="92"/>
      <c r="D3" s="93"/>
      <c r="E3" s="93"/>
      <c r="F3" s="93"/>
      <c r="G3" s="93"/>
    </row>
    <row r="4" spans="2:9" ht="20.25" x14ac:dyDescent="0.25">
      <c r="B4" s="505" t="s">
        <v>97</v>
      </c>
      <c r="C4" s="505"/>
      <c r="D4" s="505"/>
      <c r="E4" s="505"/>
      <c r="F4" s="505"/>
      <c r="G4" s="505"/>
    </row>
    <row r="5" spans="2:9" ht="15.75" x14ac:dyDescent="0.25">
      <c r="B5" s="92"/>
      <c r="C5" s="92"/>
      <c r="D5" s="93"/>
      <c r="E5" s="93"/>
      <c r="F5" s="93"/>
      <c r="G5" s="93"/>
    </row>
    <row r="6" spans="2:9" ht="15.75" x14ac:dyDescent="0.25">
      <c r="B6" s="252" t="s">
        <v>193</v>
      </c>
      <c r="C6" s="242" t="str">
        <f>IF('Worksheet Prep'!D3&lt;&gt;"",'Worksheet Prep'!D3,"")</f>
        <v/>
      </c>
      <c r="E6" s="252" t="s">
        <v>194</v>
      </c>
      <c r="F6" s="507" t="str">
        <f>IF('Worksheet Prep'!G5&lt;&gt;"",'Worksheet Prep'!G5,"")</f>
        <v/>
      </c>
      <c r="G6" s="508"/>
      <c r="H6" s="94"/>
    </row>
    <row r="7" spans="2:9" ht="15.75" x14ac:dyDescent="0.25">
      <c r="B7" s="252"/>
      <c r="E7" s="252"/>
      <c r="H7" s="94"/>
    </row>
    <row r="8" spans="2:9" ht="15.75" x14ac:dyDescent="0.25">
      <c r="B8" s="252" t="s">
        <v>224</v>
      </c>
      <c r="C8" s="345"/>
      <c r="E8" s="252" t="s">
        <v>195</v>
      </c>
      <c r="F8" s="509" t="str">
        <f>IF('Worksheet Prep'!C5&lt;&gt;"",'Worksheet Prep'!C5,"")</f>
        <v/>
      </c>
      <c r="G8" s="509"/>
      <c r="H8" s="95"/>
    </row>
    <row r="9" spans="2:9" ht="15.75" x14ac:dyDescent="0.25">
      <c r="B9" s="252"/>
      <c r="E9" s="252"/>
      <c r="F9" s="126"/>
      <c r="G9" s="126"/>
      <c r="H9" s="95"/>
    </row>
    <row r="10" spans="2:9" ht="15.75" x14ac:dyDescent="0.25">
      <c r="B10" s="252" t="s">
        <v>196</v>
      </c>
      <c r="C10" s="242" t="str">
        <f>'Additional Info'!F2</f>
        <v>Praetorian Insurance - 3501</v>
      </c>
      <c r="D10" s="506"/>
      <c r="E10" s="506"/>
      <c r="F10" s="504"/>
      <c r="G10" s="504"/>
    </row>
    <row r="11" spans="2:9" ht="24" customHeight="1" x14ac:dyDescent="0.25">
      <c r="B11" s="252" t="s">
        <v>197</v>
      </c>
      <c r="C11" s="96">
        <f>VLOOKUP(C10,'STATE CODES (NUM) &amp; MIN-MAX'!B56:D58,3,FALSE)</f>
        <v>21172</v>
      </c>
      <c r="D11" s="501"/>
      <c r="E11" s="501"/>
      <c r="F11" s="93"/>
      <c r="G11" s="93"/>
    </row>
    <row r="12" spans="2:9" ht="15.75" x14ac:dyDescent="0.25">
      <c r="B12" s="252"/>
      <c r="C12" s="97"/>
      <c r="D12" s="240"/>
      <c r="E12" s="240"/>
      <c r="F12" s="93"/>
      <c r="G12" s="93"/>
    </row>
    <row r="13" spans="2:9" x14ac:dyDescent="0.25">
      <c r="B13" s="499" t="s">
        <v>316</v>
      </c>
      <c r="C13" s="499"/>
      <c r="D13" s="499"/>
      <c r="E13" s="499"/>
      <c r="F13" s="499"/>
      <c r="G13" s="499"/>
      <c r="H13" s="407"/>
      <c r="I13" s="407"/>
    </row>
    <row r="14" spans="2:9" ht="15.75" thickBot="1" x14ac:dyDescent="0.3">
      <c r="B14" s="500"/>
      <c r="C14" s="500"/>
      <c r="D14" s="500"/>
      <c r="E14" s="500"/>
      <c r="F14" s="500"/>
      <c r="G14" s="500"/>
      <c r="H14" s="412"/>
      <c r="I14" s="412"/>
    </row>
    <row r="15" spans="2:9" x14ac:dyDescent="0.25">
      <c r="B15" s="497" t="s">
        <v>198</v>
      </c>
      <c r="C15" s="497" t="s">
        <v>199</v>
      </c>
      <c r="D15" s="497" t="s">
        <v>200</v>
      </c>
      <c r="E15" s="497" t="s">
        <v>201</v>
      </c>
      <c r="F15" s="497" t="s">
        <v>202</v>
      </c>
      <c r="G15" s="497" t="s">
        <v>203</v>
      </c>
      <c r="H15" s="412"/>
      <c r="I15" s="412"/>
    </row>
    <row r="16" spans="2:9" ht="15.75" thickBot="1" x14ac:dyDescent="0.3">
      <c r="B16" s="498"/>
      <c r="C16" s="498"/>
      <c r="D16" s="498"/>
      <c r="E16" s="498"/>
      <c r="F16" s="498"/>
      <c r="G16" s="498"/>
      <c r="H16" s="412"/>
      <c r="I16" s="412"/>
    </row>
    <row r="17" spans="2:9" ht="45" customHeight="1" thickBot="1" x14ac:dyDescent="0.3">
      <c r="B17" s="98" t="s">
        <v>204</v>
      </c>
      <c r="C17" s="135" t="s">
        <v>205</v>
      </c>
      <c r="D17" s="346">
        <v>0</v>
      </c>
      <c r="E17" s="346">
        <v>0</v>
      </c>
      <c r="F17" s="347"/>
      <c r="G17" s="408" t="s">
        <v>206</v>
      </c>
      <c r="H17" s="411">
        <v>0.1</v>
      </c>
      <c r="I17" s="411">
        <v>0.1</v>
      </c>
    </row>
    <row r="18" spans="2:9" ht="45" customHeight="1" thickBot="1" x14ac:dyDescent="0.3">
      <c r="B18" s="98" t="s">
        <v>207</v>
      </c>
      <c r="C18" s="136" t="s">
        <v>205</v>
      </c>
      <c r="D18" s="348">
        <v>0</v>
      </c>
      <c r="E18" s="348">
        <v>0</v>
      </c>
      <c r="F18" s="349"/>
      <c r="G18" s="409" t="s">
        <v>206</v>
      </c>
      <c r="H18" s="411">
        <v>0.1</v>
      </c>
      <c r="I18" s="411">
        <v>0.1</v>
      </c>
    </row>
    <row r="19" spans="2:9" ht="45" customHeight="1" thickBot="1" x14ac:dyDescent="0.3">
      <c r="B19" s="98" t="s">
        <v>208</v>
      </c>
      <c r="C19" s="137" t="s">
        <v>209</v>
      </c>
      <c r="D19" s="348">
        <v>0</v>
      </c>
      <c r="E19" s="348">
        <v>0</v>
      </c>
      <c r="F19" s="349"/>
      <c r="G19" s="409" t="s">
        <v>206</v>
      </c>
      <c r="H19" s="411">
        <v>0.05</v>
      </c>
      <c r="I19" s="411">
        <v>0.05</v>
      </c>
    </row>
    <row r="20" spans="2:9" ht="45" customHeight="1" thickBot="1" x14ac:dyDescent="0.3">
      <c r="B20" s="98" t="s">
        <v>210</v>
      </c>
      <c r="C20" s="137" t="s">
        <v>209</v>
      </c>
      <c r="D20" s="348">
        <v>0</v>
      </c>
      <c r="E20" s="348">
        <v>0</v>
      </c>
      <c r="F20" s="349"/>
      <c r="G20" s="409" t="s">
        <v>206</v>
      </c>
      <c r="H20" s="411">
        <v>0.05</v>
      </c>
      <c r="I20" s="411">
        <v>0.05</v>
      </c>
    </row>
    <row r="21" spans="2:9" ht="45" customHeight="1" thickBot="1" x14ac:dyDescent="0.3">
      <c r="B21" s="98" t="s">
        <v>211</v>
      </c>
      <c r="C21" s="137" t="s">
        <v>205</v>
      </c>
      <c r="D21" s="348">
        <v>0</v>
      </c>
      <c r="E21" s="348">
        <v>0</v>
      </c>
      <c r="F21" s="349"/>
      <c r="G21" s="409" t="s">
        <v>206</v>
      </c>
      <c r="H21" s="411">
        <v>0.1</v>
      </c>
      <c r="I21" s="411">
        <v>0.1</v>
      </c>
    </row>
    <row r="22" spans="2:9" ht="45" customHeight="1" thickBot="1" x14ac:dyDescent="0.3">
      <c r="B22" s="98" t="s">
        <v>212</v>
      </c>
      <c r="C22" s="137" t="s">
        <v>209</v>
      </c>
      <c r="D22" s="348">
        <v>0</v>
      </c>
      <c r="E22" s="348">
        <v>0</v>
      </c>
      <c r="F22" s="349"/>
      <c r="G22" s="409" t="s">
        <v>206</v>
      </c>
      <c r="H22" s="411">
        <v>0.05</v>
      </c>
      <c r="I22" s="411">
        <v>0.05</v>
      </c>
    </row>
    <row r="23" spans="2:9" ht="45" customHeight="1" thickBot="1" x14ac:dyDescent="0.3">
      <c r="B23" s="98" t="s">
        <v>213</v>
      </c>
      <c r="C23" s="139" t="s">
        <v>209</v>
      </c>
      <c r="D23" s="348">
        <v>0</v>
      </c>
      <c r="E23" s="348">
        <v>0</v>
      </c>
      <c r="F23" s="350"/>
      <c r="G23" s="410" t="s">
        <v>206</v>
      </c>
      <c r="H23" s="411">
        <v>0.05</v>
      </c>
      <c r="I23" s="411">
        <v>0.05</v>
      </c>
    </row>
    <row r="24" spans="2:9" ht="16.5" thickBot="1" x14ac:dyDescent="0.3">
      <c r="B24" s="92" t="s">
        <v>214</v>
      </c>
      <c r="C24" s="93"/>
      <c r="D24" s="127">
        <f>-1 * SUM(D17:D23)</f>
        <v>0</v>
      </c>
      <c r="E24" s="127">
        <f>SUM(E17:E23)</f>
        <v>0</v>
      </c>
      <c r="F24" s="93"/>
      <c r="G24" s="93"/>
    </row>
    <row r="25" spans="2:9" ht="15.75" x14ac:dyDescent="0.25">
      <c r="B25" s="92"/>
      <c r="C25" s="92"/>
      <c r="D25" s="93"/>
      <c r="E25" s="93"/>
      <c r="F25" s="93"/>
      <c r="G25" s="93"/>
    </row>
    <row r="26" spans="2:9" ht="16.5" thickBot="1" x14ac:dyDescent="0.3">
      <c r="B26" s="92"/>
      <c r="C26" s="99"/>
      <c r="D26" s="251" t="s">
        <v>287</v>
      </c>
      <c r="E26" s="428">
        <f>SUM(D24:E24)</f>
        <v>0</v>
      </c>
      <c r="F26" t="s">
        <v>443</v>
      </c>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sUnZyO0PMJze5u73BROawq9KiWH518nuOza2QjPiF1hXuqaqr1IhfwB/PlGqq1ePVbU2Df5lalcZbu8MQCmakQ==" saltValue="zuqkwgph/ywr10sMQwGiHw==" spinCount="100000" sheet="1" objects="1" scenarios="1" selectLockedCells="1"/>
  <mergeCells count="15">
    <mergeCell ref="D11:E11"/>
    <mergeCell ref="B15:B16"/>
    <mergeCell ref="B2:G2"/>
    <mergeCell ref="F10:G10"/>
    <mergeCell ref="B4:G4"/>
    <mergeCell ref="D10:E10"/>
    <mergeCell ref="F6:G6"/>
    <mergeCell ref="F8:G8"/>
    <mergeCell ref="C28:D28"/>
    <mergeCell ref="C15:C16"/>
    <mergeCell ref="B13:G14"/>
    <mergeCell ref="D15:D16"/>
    <mergeCell ref="E15:E16"/>
    <mergeCell ref="F15:F16"/>
    <mergeCell ref="G15:G16"/>
  </mergeCells>
  <conditionalFormatting sqref="D17">
    <cfRule type="cellIs" dxfId="1768" priority="54" operator="lessThan">
      <formula>0%</formula>
    </cfRule>
    <cfRule type="cellIs" dxfId="1767" priority="55" operator="greaterThan">
      <formula>H17</formula>
    </cfRule>
    <cfRule type="cellIs" dxfId="1766" priority="56" operator="between">
      <formula>0%</formula>
      <formula>H17</formula>
    </cfRule>
  </conditionalFormatting>
  <conditionalFormatting sqref="E17">
    <cfRule type="cellIs" dxfId="1765" priority="45" operator="lessThan">
      <formula>0%</formula>
    </cfRule>
    <cfRule type="cellIs" dxfId="1764" priority="46" operator="greaterThan">
      <formula>I17</formula>
    </cfRule>
    <cfRule type="cellIs" dxfId="1763" priority="47" operator="between">
      <formula>0%</formula>
      <formula>I17</formula>
    </cfRule>
  </conditionalFormatting>
  <conditionalFormatting sqref="D19">
    <cfRule type="cellIs" dxfId="1762" priority="36" operator="lessThan">
      <formula>0%</formula>
    </cfRule>
    <cfRule type="cellIs" dxfId="1761" priority="37" operator="greaterThan">
      <formula>H19</formula>
    </cfRule>
    <cfRule type="cellIs" dxfId="1760" priority="38" operator="between">
      <formula>0%</formula>
      <formula>H19</formula>
    </cfRule>
  </conditionalFormatting>
  <conditionalFormatting sqref="D18">
    <cfRule type="cellIs" dxfId="1759" priority="33" operator="lessThan">
      <formula>0%</formula>
    </cfRule>
    <cfRule type="cellIs" dxfId="1758" priority="34" operator="greaterThan">
      <formula>H18</formula>
    </cfRule>
    <cfRule type="cellIs" dxfId="1757" priority="35" operator="between">
      <formula>0%</formula>
      <formula>H18</formula>
    </cfRule>
  </conditionalFormatting>
  <conditionalFormatting sqref="E18">
    <cfRule type="cellIs" dxfId="1756" priority="30" operator="lessThan">
      <formula>0%</formula>
    </cfRule>
    <cfRule type="cellIs" dxfId="1755" priority="31" operator="greaterThan">
      <formula>I18</formula>
    </cfRule>
    <cfRule type="cellIs" dxfId="1754" priority="32" operator="between">
      <formula>0%</formula>
      <formula>I18</formula>
    </cfRule>
  </conditionalFormatting>
  <conditionalFormatting sqref="E19">
    <cfRule type="cellIs" dxfId="1753" priority="27" operator="lessThan">
      <formula>0%</formula>
    </cfRule>
    <cfRule type="cellIs" dxfId="1752" priority="28" operator="greaterThan">
      <formula>I19</formula>
    </cfRule>
    <cfRule type="cellIs" dxfId="1751" priority="29" operator="between">
      <formula>0%</formula>
      <formula>I19</formula>
    </cfRule>
  </conditionalFormatting>
  <conditionalFormatting sqref="E20">
    <cfRule type="cellIs" dxfId="1750" priority="24" operator="lessThan">
      <formula>0%</formula>
    </cfRule>
    <cfRule type="cellIs" dxfId="1749" priority="25" operator="greaterThan">
      <formula>I20</formula>
    </cfRule>
    <cfRule type="cellIs" dxfId="1748" priority="26" operator="between">
      <formula>0%</formula>
      <formula>I20</formula>
    </cfRule>
  </conditionalFormatting>
  <conditionalFormatting sqref="D20">
    <cfRule type="cellIs" dxfId="1747" priority="21" operator="lessThan">
      <formula>0%</formula>
    </cfRule>
    <cfRule type="cellIs" dxfId="1746" priority="22" operator="greaterThan">
      <formula>H20</formula>
    </cfRule>
    <cfRule type="cellIs" dxfId="1745" priority="23" operator="between">
      <formula>0%</formula>
      <formula>H20</formula>
    </cfRule>
  </conditionalFormatting>
  <conditionalFormatting sqref="D21">
    <cfRule type="cellIs" dxfId="1744" priority="18" operator="lessThan">
      <formula>0%</formula>
    </cfRule>
    <cfRule type="cellIs" dxfId="1743" priority="19" operator="greaterThan">
      <formula>H21</formula>
    </cfRule>
    <cfRule type="cellIs" dxfId="1742" priority="20" operator="between">
      <formula>0%</formula>
      <formula>H21</formula>
    </cfRule>
  </conditionalFormatting>
  <conditionalFormatting sqref="E21">
    <cfRule type="cellIs" dxfId="1741" priority="15" operator="lessThan">
      <formula>0%</formula>
    </cfRule>
    <cfRule type="cellIs" dxfId="1740" priority="16" operator="greaterThan">
      <formula>I21</formula>
    </cfRule>
    <cfRule type="cellIs" dxfId="1739" priority="17" operator="between">
      <formula>0%</formula>
      <formula>I21</formula>
    </cfRule>
  </conditionalFormatting>
  <conditionalFormatting sqref="E22">
    <cfRule type="cellIs" dxfId="1738" priority="12" operator="lessThan">
      <formula>0%</formula>
    </cfRule>
    <cfRule type="cellIs" dxfId="1737" priority="13" operator="greaterThan">
      <formula>I22</formula>
    </cfRule>
    <cfRule type="cellIs" dxfId="1736" priority="14" operator="between">
      <formula>0%</formula>
      <formula>I22</formula>
    </cfRule>
  </conditionalFormatting>
  <conditionalFormatting sqref="E23">
    <cfRule type="cellIs" dxfId="1735" priority="9" operator="lessThan">
      <formula>0%</formula>
    </cfRule>
    <cfRule type="cellIs" dxfId="1734" priority="10" operator="greaterThan">
      <formula>I23</formula>
    </cfRule>
    <cfRule type="cellIs" dxfId="1733" priority="11" operator="between">
      <formula>0%</formula>
      <formula>I23</formula>
    </cfRule>
  </conditionalFormatting>
  <conditionalFormatting sqref="D23">
    <cfRule type="cellIs" dxfId="1732" priority="6" operator="lessThan">
      <formula>0%</formula>
    </cfRule>
    <cfRule type="cellIs" dxfId="1731" priority="7" operator="greaterThan">
      <formula>H23</formula>
    </cfRule>
    <cfRule type="cellIs" dxfId="1730" priority="8" operator="between">
      <formula>0%</formula>
      <formula>H23</formula>
    </cfRule>
  </conditionalFormatting>
  <conditionalFormatting sqref="D22">
    <cfRule type="cellIs" dxfId="1729" priority="3" operator="lessThan">
      <formula>0%</formula>
    </cfRule>
    <cfRule type="cellIs" dxfId="1728" priority="4" operator="greaterThan">
      <formula>H22</formula>
    </cfRule>
    <cfRule type="cellIs" dxfId="1727" priority="5" operator="between">
      <formula>0%</formula>
      <formula>H22</formula>
    </cfRule>
  </conditionalFormatting>
  <pageMargins left="0.7" right="0.7" top="0.75" bottom="0.75" header="0.3" footer="0.3"/>
  <pageSetup scale="64" fitToHeight="0" orientation="portrait" r:id="rId1"/>
  <ignoredErrors>
    <ignoredError sqref="C11" evalError="1"/>
  </ignoredErrors>
  <extLst>
    <ext xmlns:x14="http://schemas.microsoft.com/office/spreadsheetml/2009/9/main" uri="{78C0D931-6437-407d-A8EE-F0AAD7539E65}">
      <x14:conditionalFormattings>
        <x14:conditionalFormatting xmlns:xm="http://schemas.microsoft.com/office/excel/2006/main">
          <x14:cfRule type="cellIs" priority="1" operator="lessThan" id="{D0F1B544-5ED4-4E34-8D99-5DB2A6103C37}">
            <xm:f>-1*('STATE CODES (NUM) &amp; MIN-MAX'!$D$3)</xm:f>
            <x14:dxf>
              <font>
                <color rgb="FF9C0006"/>
              </font>
              <fill>
                <patternFill>
                  <bgColor rgb="FFFFC7CE"/>
                </patternFill>
              </fill>
            </x14:dxf>
          </x14:cfRule>
          <x14:cfRule type="cellIs" priority="2" operator="greaterThan" id="{8888A9F0-93BB-4325-BD50-7D6155996840}">
            <xm:f>'STATE CODES (NUM) &amp; MIN-MAX'!$E$3</xm:f>
            <x14:dxf>
              <font>
                <color rgb="FF9C0006"/>
              </font>
              <fill>
                <patternFill>
                  <bgColor rgb="FFFFC7CE"/>
                </patternFill>
              </fill>
            </x14:dxf>
          </x14:cfRule>
          <xm:sqref>E26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2:I27"/>
  <sheetViews>
    <sheetView showGridLines="0" showRowColHeaders="0" topLeftCell="A1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1:9" ht="18" x14ac:dyDescent="0.25">
      <c r="B2" s="502" t="s">
        <v>192</v>
      </c>
      <c r="C2" s="503"/>
      <c r="D2" s="503"/>
      <c r="E2" s="503"/>
      <c r="F2" s="503"/>
      <c r="G2" s="503"/>
    </row>
    <row r="3" spans="1:9" ht="15.75" x14ac:dyDescent="0.25">
      <c r="B3" s="92"/>
      <c r="C3" s="92"/>
      <c r="D3" s="93"/>
      <c r="E3" s="93"/>
      <c r="F3" s="93"/>
      <c r="G3" s="93"/>
    </row>
    <row r="4" spans="1:9" ht="20.25" x14ac:dyDescent="0.25">
      <c r="B4" s="510" t="s">
        <v>98</v>
      </c>
      <c r="C4" s="510"/>
      <c r="D4" s="510"/>
      <c r="E4" s="510"/>
      <c r="F4" s="510"/>
      <c r="G4" s="510"/>
    </row>
    <row r="5" spans="1:9" ht="15.75" x14ac:dyDescent="0.25">
      <c r="B5" s="92"/>
      <c r="C5" s="92"/>
      <c r="D5" s="93"/>
      <c r="E5" s="93"/>
      <c r="F5" s="93"/>
      <c r="G5" s="93"/>
    </row>
    <row r="6" spans="1:9" ht="15.75" x14ac:dyDescent="0.25">
      <c r="B6" s="252" t="s">
        <v>193</v>
      </c>
      <c r="C6" s="242" t="str">
        <f>IF('Worksheet Prep'!D3&lt;&gt;"",'Worksheet Prep'!D3,"")</f>
        <v/>
      </c>
      <c r="D6" s="252"/>
      <c r="E6" s="252" t="s">
        <v>194</v>
      </c>
      <c r="F6" s="508" t="str">
        <f>IF('Worksheet Prep'!G5&lt;&gt;"",'Worksheet Prep'!G5,"")</f>
        <v/>
      </c>
      <c r="G6" s="508"/>
      <c r="H6" s="94"/>
    </row>
    <row r="7" spans="1:9" customFormat="1" x14ac:dyDescent="0.25">
      <c r="A7" s="22"/>
      <c r="B7" s="22"/>
      <c r="C7" s="22"/>
      <c r="D7" s="22"/>
      <c r="E7" s="22"/>
      <c r="F7" s="22"/>
      <c r="G7" s="22"/>
      <c r="H7" s="22"/>
    </row>
    <row r="8" spans="1:9" ht="15.75" x14ac:dyDescent="0.25">
      <c r="B8" s="252" t="s">
        <v>224</v>
      </c>
      <c r="C8" s="345"/>
      <c r="D8" s="252"/>
      <c r="E8" s="252" t="s">
        <v>195</v>
      </c>
      <c r="F8" s="509" t="str">
        <f>IF('Worksheet Prep'!C5&lt;&gt;"",'Worksheet Prep'!C5,"")</f>
        <v/>
      </c>
      <c r="G8" s="509"/>
      <c r="H8" s="95"/>
    </row>
    <row r="9" spans="1:9" customFormat="1" x14ac:dyDescent="0.25">
      <c r="A9" s="22"/>
      <c r="B9" s="22"/>
      <c r="C9" s="22"/>
      <c r="D9" s="22"/>
      <c r="E9" s="22"/>
      <c r="F9" s="22"/>
      <c r="G9" s="22"/>
      <c r="H9" s="22"/>
    </row>
    <row r="10" spans="1:9" ht="15.75" x14ac:dyDescent="0.25">
      <c r="B10" s="252" t="s">
        <v>196</v>
      </c>
      <c r="C10" s="242" t="str">
        <f>'Additional Info'!F2</f>
        <v>Praetorian Insurance - 3501</v>
      </c>
      <c r="D10" s="506"/>
      <c r="E10" s="506"/>
      <c r="F10" s="504"/>
      <c r="G10" s="504"/>
    </row>
    <row r="11" spans="1:9" ht="24" customHeight="1" x14ac:dyDescent="0.25">
      <c r="B11" s="252" t="s">
        <v>197</v>
      </c>
      <c r="C11" s="96">
        <f>VLOOKUP(C10,'STATE CODES (NUM) &amp; MIN-MAX'!B56:D58,3,FALSE)</f>
        <v>21172</v>
      </c>
      <c r="D11" s="501"/>
      <c r="E11" s="501"/>
      <c r="F11" s="93"/>
      <c r="G11" s="93"/>
    </row>
    <row r="12" spans="1:9" ht="15.75" x14ac:dyDescent="0.25">
      <c r="B12" s="252"/>
      <c r="C12" s="97"/>
      <c r="D12" s="240"/>
      <c r="E12" s="240"/>
      <c r="F12" s="93"/>
      <c r="G12" s="93"/>
    </row>
    <row r="13" spans="1:9" x14ac:dyDescent="0.25">
      <c r="B13" s="499" t="s">
        <v>316</v>
      </c>
      <c r="C13" s="499"/>
      <c r="D13" s="499"/>
      <c r="E13" s="499"/>
      <c r="F13" s="499"/>
      <c r="G13" s="499"/>
      <c r="H13" s="407"/>
      <c r="I13" s="407"/>
    </row>
    <row r="14" spans="1:9" ht="15.75" thickBot="1" x14ac:dyDescent="0.3">
      <c r="B14" s="500"/>
      <c r="C14" s="500"/>
      <c r="D14" s="500"/>
      <c r="E14" s="500"/>
      <c r="F14" s="500"/>
      <c r="G14" s="500"/>
      <c r="H14" s="412"/>
      <c r="I14" s="412"/>
    </row>
    <row r="15" spans="1:9" x14ac:dyDescent="0.25">
      <c r="B15" s="497" t="s">
        <v>198</v>
      </c>
      <c r="C15" s="497" t="s">
        <v>199</v>
      </c>
      <c r="D15" s="497" t="s">
        <v>200</v>
      </c>
      <c r="E15" s="497" t="s">
        <v>201</v>
      </c>
      <c r="F15" s="497" t="s">
        <v>202</v>
      </c>
      <c r="G15" s="497" t="s">
        <v>203</v>
      </c>
      <c r="H15" s="412"/>
      <c r="I15" s="412"/>
    </row>
    <row r="16" spans="1:9" ht="15.75" thickBot="1" x14ac:dyDescent="0.3">
      <c r="B16" s="498"/>
      <c r="C16" s="498"/>
      <c r="D16" s="498"/>
      <c r="E16" s="498"/>
      <c r="F16" s="498"/>
      <c r="G16" s="498"/>
      <c r="H16" s="412"/>
      <c r="I16" s="412"/>
    </row>
    <row r="17" spans="2:9" ht="45" customHeight="1" thickBot="1" x14ac:dyDescent="0.3">
      <c r="B17" s="98" t="s">
        <v>204</v>
      </c>
      <c r="C17" s="135" t="s">
        <v>205</v>
      </c>
      <c r="D17" s="413">
        <v>0</v>
      </c>
      <c r="E17" s="346">
        <v>0</v>
      </c>
      <c r="F17" s="347"/>
      <c r="G17" s="408" t="s">
        <v>206</v>
      </c>
      <c r="H17" s="407">
        <v>0.1</v>
      </c>
      <c r="I17" s="407">
        <v>0.1</v>
      </c>
    </row>
    <row r="18" spans="2:9" ht="45" customHeight="1" thickBot="1" x14ac:dyDescent="0.3">
      <c r="B18" s="98" t="s">
        <v>207</v>
      </c>
      <c r="C18" s="136" t="s">
        <v>205</v>
      </c>
      <c r="D18" s="348">
        <v>0</v>
      </c>
      <c r="E18" s="348">
        <v>0</v>
      </c>
      <c r="F18" s="349"/>
      <c r="G18" s="409" t="s">
        <v>206</v>
      </c>
      <c r="H18" s="407">
        <v>0.1</v>
      </c>
      <c r="I18" s="407">
        <v>0.1</v>
      </c>
    </row>
    <row r="19" spans="2:9" ht="45" customHeight="1" thickBot="1" x14ac:dyDescent="0.3">
      <c r="B19" s="98" t="s">
        <v>208</v>
      </c>
      <c r="C19" s="137" t="s">
        <v>209</v>
      </c>
      <c r="D19" s="348">
        <v>0</v>
      </c>
      <c r="E19" s="348">
        <v>0</v>
      </c>
      <c r="F19" s="349"/>
      <c r="G19" s="409" t="s">
        <v>206</v>
      </c>
      <c r="H19" s="407">
        <v>0.05</v>
      </c>
      <c r="I19" s="407">
        <v>0.05</v>
      </c>
    </row>
    <row r="20" spans="2:9" ht="45" customHeight="1" thickBot="1" x14ac:dyDescent="0.3">
      <c r="B20" s="98" t="s">
        <v>210</v>
      </c>
      <c r="C20" s="137" t="s">
        <v>209</v>
      </c>
      <c r="D20" s="348">
        <v>0</v>
      </c>
      <c r="E20" s="348">
        <v>0</v>
      </c>
      <c r="F20" s="349"/>
      <c r="G20" s="409" t="s">
        <v>206</v>
      </c>
      <c r="H20" s="407">
        <v>0.05</v>
      </c>
      <c r="I20" s="407">
        <v>0.05</v>
      </c>
    </row>
    <row r="21" spans="2:9" ht="45" customHeight="1" thickBot="1" x14ac:dyDescent="0.3">
      <c r="B21" s="98" t="s">
        <v>211</v>
      </c>
      <c r="C21" s="137" t="s">
        <v>205</v>
      </c>
      <c r="D21" s="348">
        <v>0</v>
      </c>
      <c r="E21" s="348">
        <v>0</v>
      </c>
      <c r="F21" s="349"/>
      <c r="G21" s="409" t="s">
        <v>206</v>
      </c>
      <c r="H21" s="407">
        <v>0.1</v>
      </c>
      <c r="I21" s="407">
        <v>0.1</v>
      </c>
    </row>
    <row r="22" spans="2:9" ht="45" customHeight="1" thickBot="1" x14ac:dyDescent="0.3">
      <c r="B22" s="98" t="s">
        <v>428</v>
      </c>
      <c r="C22" s="137" t="s">
        <v>209</v>
      </c>
      <c r="D22" s="348">
        <v>0</v>
      </c>
      <c r="E22" s="348">
        <v>0</v>
      </c>
      <c r="F22" s="349"/>
      <c r="G22" s="409" t="s">
        <v>206</v>
      </c>
      <c r="H22" s="407">
        <v>0.05</v>
      </c>
      <c r="I22" s="407">
        <v>0.05</v>
      </c>
    </row>
    <row r="23" spans="2:9" ht="16.5" thickBot="1" x14ac:dyDescent="0.3">
      <c r="B23" s="92" t="s">
        <v>214</v>
      </c>
      <c r="C23" s="93"/>
      <c r="D23" s="127">
        <f>-1 * SUM(D17:D22)</f>
        <v>0</v>
      </c>
      <c r="E23" s="127">
        <f>SUM(E17:E22)</f>
        <v>0</v>
      </c>
      <c r="F23" s="93"/>
      <c r="G23" s="93"/>
    </row>
    <row r="24" spans="2:9" ht="15.75" x14ac:dyDescent="0.25">
      <c r="B24" s="92"/>
      <c r="C24" s="92"/>
      <c r="D24" s="93"/>
      <c r="E24" s="93"/>
      <c r="F24" s="93"/>
      <c r="G24" s="93"/>
    </row>
    <row r="25" spans="2:9" ht="16.5" thickBot="1" x14ac:dyDescent="0.3">
      <c r="B25" s="92"/>
      <c r="C25" s="99"/>
      <c r="D25" s="251" t="s">
        <v>287</v>
      </c>
      <c r="E25" s="428">
        <f>SUM(D23:E23)</f>
        <v>0</v>
      </c>
      <c r="F25" s="511" t="s">
        <v>443</v>
      </c>
      <c r="G25" s="512"/>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QnaAbzOqEH1K1GKRirXOtwfKHdggwM7Bu4iY1SZjUN+j43eeXRT57967awOGA5nWU5WSUsvB/JtvNoDS2hW1aw==" saltValue="qBOUvabqQ/8pbwGrZaM9gQ==" spinCount="100000" sheet="1" objects="1" scenarios="1" selectLockedCells="1"/>
  <mergeCells count="16">
    <mergeCell ref="C27:D27"/>
    <mergeCell ref="B15:B16"/>
    <mergeCell ref="D11:E11"/>
    <mergeCell ref="B13:G14"/>
    <mergeCell ref="C15:C16"/>
    <mergeCell ref="D15:D16"/>
    <mergeCell ref="E15:E16"/>
    <mergeCell ref="F15:F16"/>
    <mergeCell ref="G15:G16"/>
    <mergeCell ref="F25:G25"/>
    <mergeCell ref="B2:G2"/>
    <mergeCell ref="B4:G4"/>
    <mergeCell ref="D10:E10"/>
    <mergeCell ref="F10:G10"/>
    <mergeCell ref="F6:G6"/>
    <mergeCell ref="F8:G8"/>
  </mergeCells>
  <conditionalFormatting sqref="D17">
    <cfRule type="cellIs" dxfId="1724" priority="54" operator="lessThan">
      <formula>0%</formula>
    </cfRule>
    <cfRule type="cellIs" dxfId="1723" priority="55" operator="greaterThan">
      <formula>H17</formula>
    </cfRule>
    <cfRule type="cellIs" dxfId="1722" priority="56" operator="between">
      <formula>0%</formula>
      <formula>H17</formula>
    </cfRule>
  </conditionalFormatting>
  <conditionalFormatting sqref="E17">
    <cfRule type="cellIs" dxfId="1721" priority="49" operator="lessThan">
      <formula>0%</formula>
    </cfRule>
    <cfRule type="cellIs" dxfId="1720" priority="50" operator="greaterThan">
      <formula>I17</formula>
    </cfRule>
    <cfRule type="cellIs" dxfId="1719" priority="51" operator="between">
      <formula>0%</formula>
      <formula>I17</formula>
    </cfRule>
  </conditionalFormatting>
  <conditionalFormatting sqref="E18">
    <cfRule type="cellIs" dxfId="1718" priority="34" operator="lessThan">
      <formula>0%</formula>
    </cfRule>
    <cfRule type="cellIs" dxfId="1717" priority="35" operator="greaterThan">
      <formula>I18</formula>
    </cfRule>
    <cfRule type="cellIs" dxfId="1716" priority="36" operator="between">
      <formula>0%</formula>
      <formula>I18</formula>
    </cfRule>
  </conditionalFormatting>
  <conditionalFormatting sqref="E19">
    <cfRule type="cellIs" dxfId="1715" priority="31" operator="lessThan">
      <formula>0%</formula>
    </cfRule>
    <cfRule type="cellIs" dxfId="1714" priority="32" operator="greaterThan">
      <formula>I19</formula>
    </cfRule>
    <cfRule type="cellIs" dxfId="1713" priority="33" operator="between">
      <formula>0%</formula>
      <formula>I19</formula>
    </cfRule>
  </conditionalFormatting>
  <conditionalFormatting sqref="E20">
    <cfRule type="cellIs" dxfId="1712" priority="28" operator="lessThan">
      <formula>0%</formula>
    </cfRule>
    <cfRule type="cellIs" dxfId="1711" priority="29" operator="greaterThan">
      <formula>I20</formula>
    </cfRule>
    <cfRule type="cellIs" dxfId="1710" priority="30" operator="between">
      <formula>0%</formula>
      <formula>I20</formula>
    </cfRule>
  </conditionalFormatting>
  <conditionalFormatting sqref="E21">
    <cfRule type="cellIs" dxfId="1709" priority="25" operator="lessThan">
      <formula>0%</formula>
    </cfRule>
    <cfRule type="cellIs" dxfId="1708" priority="26" operator="greaterThan">
      <formula>I21</formula>
    </cfRule>
    <cfRule type="cellIs" dxfId="1707" priority="27" operator="between">
      <formula>0%</formula>
      <formula>I21</formula>
    </cfRule>
  </conditionalFormatting>
  <conditionalFormatting sqref="E22">
    <cfRule type="cellIs" dxfId="1706" priority="22" operator="lessThan">
      <formula>0%</formula>
    </cfRule>
    <cfRule type="cellIs" dxfId="1705" priority="23" operator="greaterThan">
      <formula>I22</formula>
    </cfRule>
    <cfRule type="cellIs" dxfId="1704" priority="24" operator="between">
      <formula>0%</formula>
      <formula>I22</formula>
    </cfRule>
  </conditionalFormatting>
  <conditionalFormatting sqref="D22">
    <cfRule type="cellIs" dxfId="1703" priority="13" operator="lessThan">
      <formula>0%</formula>
    </cfRule>
    <cfRule type="cellIs" dxfId="1702" priority="14" operator="greaterThan">
      <formula>H22</formula>
    </cfRule>
    <cfRule type="cellIs" dxfId="1701" priority="15" operator="between">
      <formula>0%</formula>
      <formula>H22</formula>
    </cfRule>
  </conditionalFormatting>
  <conditionalFormatting sqref="D21">
    <cfRule type="cellIs" dxfId="1700" priority="10" operator="lessThan">
      <formula>0%</formula>
    </cfRule>
    <cfRule type="cellIs" dxfId="1699" priority="11" operator="greaterThan">
      <formula>H21</formula>
    </cfRule>
    <cfRule type="cellIs" dxfId="1698" priority="12" operator="between">
      <formula>0%</formula>
      <formula>H21</formula>
    </cfRule>
  </conditionalFormatting>
  <conditionalFormatting sqref="D20">
    <cfRule type="cellIs" dxfId="1697" priority="7" operator="lessThan">
      <formula>0%</formula>
    </cfRule>
    <cfRule type="cellIs" dxfId="1696" priority="8" operator="greaterThan">
      <formula>H20</formula>
    </cfRule>
    <cfRule type="cellIs" dxfId="1695" priority="9" operator="between">
      <formula>0%</formula>
      <formula>H20</formula>
    </cfRule>
  </conditionalFormatting>
  <conditionalFormatting sqref="D19">
    <cfRule type="cellIs" dxfId="1694" priority="4" operator="lessThan">
      <formula>0%</formula>
    </cfRule>
    <cfRule type="cellIs" dxfId="1693" priority="5" operator="greaterThan">
      <formula>H19</formula>
    </cfRule>
    <cfRule type="cellIs" dxfId="1692" priority="6" operator="between">
      <formula>0%</formula>
      <formula>H19</formula>
    </cfRule>
  </conditionalFormatting>
  <conditionalFormatting sqref="D18">
    <cfRule type="cellIs" dxfId="1691" priority="1" operator="lessThan">
      <formula>0%</formula>
    </cfRule>
    <cfRule type="cellIs" dxfId="1690" priority="2" operator="greaterThan">
      <formula>H18</formula>
    </cfRule>
    <cfRule type="cellIs" dxfId="1689" priority="3" operator="between">
      <formula>0%</formula>
      <formula>H18</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52" operator="lessThan" id="{C46F0A46-357B-482C-893E-11C6C717F0B5}">
            <xm:f>-1*('STATE CODES (NUM) &amp; MIN-MAX'!$D$4)</xm:f>
            <x14:dxf>
              <font>
                <color rgb="FF9C0006"/>
              </font>
              <fill>
                <patternFill>
                  <bgColor rgb="FFFFC7CE"/>
                </patternFill>
              </fill>
            </x14:dxf>
          </x14:cfRule>
          <x14:cfRule type="cellIs" priority="53" operator="greaterThan" id="{1CEA86E1-44C6-4BC5-802E-85A99BDBD6E4}">
            <xm:f>'STATE CODES (NUM) &amp; MIN-MAX'!$E$4</xm:f>
            <x14:dxf>
              <font>
                <color rgb="FF9C0006"/>
              </font>
              <fill>
                <patternFill>
                  <bgColor rgb="FFFFC7CE"/>
                </patternFill>
              </fill>
            </x14:dxf>
          </x14:cfRule>
          <xm:sqref>E25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B2:O70"/>
  <sheetViews>
    <sheetView showGridLines="0" showRowColHeaders="0" zoomScale="90" zoomScaleNormal="90" workbookViewId="0">
      <selection activeCell="B6" sqref="B6:C6"/>
    </sheetView>
  </sheetViews>
  <sheetFormatPr defaultRowHeight="15" x14ac:dyDescent="0.25"/>
  <cols>
    <col min="1" max="1" width="6.42578125" customWidth="1"/>
    <col min="2" max="2" width="18.5703125" customWidth="1"/>
    <col min="3" max="3" width="17.85546875" customWidth="1"/>
    <col min="4" max="4" width="12.85546875" customWidth="1"/>
    <col min="5" max="5" width="11.5703125" customWidth="1"/>
    <col min="6" max="6" width="14.28515625" customWidth="1"/>
    <col min="7" max="7" width="13.42578125" customWidth="1"/>
    <col min="9" max="9" width="21.42578125" customWidth="1"/>
    <col min="10" max="10" width="6.42578125" hidden="1" customWidth="1"/>
    <col min="11" max="11" width="0" hidden="1" customWidth="1"/>
    <col min="14" max="15" width="9.140625" style="454"/>
  </cols>
  <sheetData>
    <row r="2" spans="2:15" ht="18" x14ac:dyDescent="0.25">
      <c r="B2" s="594" t="s">
        <v>226</v>
      </c>
      <c r="C2" s="595"/>
      <c r="D2" s="595"/>
      <c r="E2" s="595"/>
      <c r="F2" s="595"/>
      <c r="G2" s="595"/>
      <c r="H2" s="595"/>
      <c r="I2" s="596"/>
    </row>
    <row r="3" spans="2:15" x14ac:dyDescent="0.25">
      <c r="B3" s="521" t="s">
        <v>227</v>
      </c>
      <c r="C3" s="521"/>
      <c r="D3" s="201"/>
      <c r="E3" s="201"/>
      <c r="F3" s="201"/>
      <c r="G3" s="201"/>
      <c r="H3" s="201"/>
      <c r="I3" s="201"/>
    </row>
    <row r="4" spans="2:15" ht="16.5" thickBot="1" x14ac:dyDescent="0.3">
      <c r="B4" s="206"/>
      <c r="C4" s="201"/>
      <c r="D4" s="201"/>
      <c r="E4" s="201"/>
      <c r="F4" s="201"/>
      <c r="G4" s="201"/>
      <c r="H4" s="201"/>
      <c r="I4" s="201"/>
    </row>
    <row r="5" spans="2:15" x14ac:dyDescent="0.25">
      <c r="B5" s="547" t="s">
        <v>228</v>
      </c>
      <c r="C5" s="549"/>
      <c r="D5" s="598" t="s">
        <v>229</v>
      </c>
      <c r="E5" s="574"/>
      <c r="F5" s="574"/>
      <c r="G5" s="574"/>
      <c r="H5" s="574"/>
      <c r="I5" s="575"/>
    </row>
    <row r="6" spans="2:15" ht="15.75" thickBot="1" x14ac:dyDescent="0.3">
      <c r="B6" s="535" t="str">
        <f>IF('Worksheet Prep'!D3&lt;&gt;"",'Worksheet Prep'!D3,"")</f>
        <v/>
      </c>
      <c r="C6" s="599">
        <f>'STATE CODES (NUM) &amp; MIN-MAX'!G56</f>
        <v>0</v>
      </c>
      <c r="D6" s="535" t="str">
        <f>IF('Worksheet Prep'!G5&lt;&gt;"",'Worksheet Prep'!G5,"")</f>
        <v/>
      </c>
      <c r="E6" s="536"/>
      <c r="F6" s="536"/>
      <c r="G6" s="536"/>
      <c r="H6" s="456"/>
      <c r="I6" s="457"/>
    </row>
    <row r="7" spans="2:15" x14ac:dyDescent="0.25">
      <c r="B7" s="522" t="s">
        <v>230</v>
      </c>
      <c r="C7" s="523"/>
      <c r="D7" s="605" t="s">
        <v>231</v>
      </c>
      <c r="E7" s="606"/>
      <c r="F7" s="606"/>
      <c r="G7" s="606"/>
      <c r="H7" s="606"/>
      <c r="I7" s="607"/>
    </row>
    <row r="8" spans="2:15" ht="15.75" thickBot="1" x14ac:dyDescent="0.3">
      <c r="B8" s="608"/>
      <c r="C8" s="609"/>
      <c r="D8" s="537" t="str">
        <f>IF('Worksheet Prep'!C5&lt;&gt;"",'Worksheet Prep'!C5,"")</f>
        <v/>
      </c>
      <c r="E8" s="538"/>
      <c r="F8" s="538"/>
      <c r="G8" s="538"/>
      <c r="H8" s="458"/>
      <c r="I8" s="459"/>
    </row>
    <row r="9" spans="2:15" ht="18" customHeight="1" thickBot="1" x14ac:dyDescent="0.3">
      <c r="B9" s="522" t="s">
        <v>232</v>
      </c>
      <c r="C9" s="523"/>
      <c r="D9" s="617"/>
      <c r="E9" s="618"/>
      <c r="F9" s="618"/>
      <c r="G9" s="618"/>
      <c r="H9" s="618"/>
      <c r="I9" s="619"/>
      <c r="O9" s="454" t="b">
        <v>0</v>
      </c>
    </row>
    <row r="10" spans="2:15" ht="16.5" thickBot="1" x14ac:dyDescent="0.3">
      <c r="B10" s="513" t="str">
        <f>'Additional Info'!F2</f>
        <v>Praetorian Insurance - 3501</v>
      </c>
      <c r="C10" s="514"/>
      <c r="D10" s="605" t="s">
        <v>233</v>
      </c>
      <c r="E10" s="606"/>
      <c r="F10" s="606"/>
      <c r="G10" s="606"/>
      <c r="H10" s="606"/>
      <c r="I10" s="607"/>
    </row>
    <row r="11" spans="2:15" ht="16.5" thickBot="1" x14ac:dyDescent="0.3">
      <c r="B11" s="603" t="s">
        <v>234</v>
      </c>
      <c r="C11" s="604"/>
      <c r="D11" s="460" t="s">
        <v>235</v>
      </c>
      <c r="E11" s="600" t="str">
        <f>IF('Worksheet Prep'!C5&lt;&gt;"",'Worksheet Prep'!C5,"")</f>
        <v/>
      </c>
      <c r="F11" s="601"/>
      <c r="G11" s="461" t="s">
        <v>236</v>
      </c>
      <c r="H11" s="600" t="str">
        <f>IF('Worksheet Prep'!E5&lt;&gt;"",'Worksheet Prep'!E5,"")</f>
        <v/>
      </c>
      <c r="I11" s="602"/>
    </row>
    <row r="12" spans="2:15" ht="15.75" thickBot="1" x14ac:dyDescent="0.3">
      <c r="B12" s="622">
        <f>VLOOKUP(B10,'STATE CODES (NUM) &amp; MIN-MAX'!B56:D58,3,FALSE)</f>
        <v>21172</v>
      </c>
      <c r="C12" s="623"/>
      <c r="D12" s="624" t="s">
        <v>237</v>
      </c>
      <c r="E12" s="625"/>
      <c r="F12" s="625"/>
      <c r="G12" s="625"/>
      <c r="H12" s="625"/>
      <c r="I12" s="626"/>
    </row>
    <row r="13" spans="2:15" ht="16.5" thickBot="1" x14ac:dyDescent="0.3">
      <c r="B13" s="522" t="s">
        <v>238</v>
      </c>
      <c r="C13" s="523"/>
      <c r="D13" s="526"/>
      <c r="E13" s="527"/>
      <c r="F13" s="528"/>
      <c r="G13" s="529"/>
      <c r="H13" s="529"/>
      <c r="I13" s="530"/>
    </row>
    <row r="14" spans="2:15" ht="16.5" thickBot="1" x14ac:dyDescent="0.3">
      <c r="B14" s="513" t="str">
        <f>'Worksheet Prep'!D4</f>
        <v/>
      </c>
      <c r="C14" s="514"/>
      <c r="D14" s="628" t="s">
        <v>239</v>
      </c>
      <c r="E14" s="629"/>
      <c r="F14" s="629"/>
      <c r="G14" s="629"/>
      <c r="H14" s="629"/>
      <c r="I14" s="630"/>
    </row>
    <row r="15" spans="2:15" x14ac:dyDescent="0.25">
      <c r="B15" s="522" t="s">
        <v>240</v>
      </c>
      <c r="C15" s="627"/>
      <c r="D15" s="515" t="s">
        <v>241</v>
      </c>
      <c r="E15" s="516"/>
      <c r="F15" s="516"/>
      <c r="G15" s="516"/>
      <c r="H15" s="516"/>
      <c r="I15" s="517"/>
    </row>
    <row r="16" spans="2:15" ht="15.75" thickBot="1" x14ac:dyDescent="0.3">
      <c r="B16" s="531"/>
      <c r="C16" s="532"/>
      <c r="D16" s="518"/>
      <c r="E16" s="519"/>
      <c r="F16" s="519"/>
      <c r="G16" s="519"/>
      <c r="H16" s="519"/>
      <c r="I16" s="520"/>
    </row>
    <row r="17" spans="2:15" ht="15.75" thickBot="1" x14ac:dyDescent="0.3">
      <c r="B17" s="533"/>
      <c r="C17" s="534"/>
      <c r="D17" s="632" t="s">
        <v>242</v>
      </c>
      <c r="E17" s="633"/>
      <c r="F17" s="633"/>
      <c r="G17" s="633"/>
      <c r="H17" s="633"/>
      <c r="I17" s="634"/>
      <c r="J17" s="112"/>
      <c r="O17" s="454" t="b">
        <v>0</v>
      </c>
    </row>
    <row r="18" spans="2:15" ht="17.25" customHeight="1" x14ac:dyDescent="0.25">
      <c r="B18" s="614" t="s">
        <v>198</v>
      </c>
      <c r="C18" s="548" t="s">
        <v>199</v>
      </c>
      <c r="D18" s="539" t="s">
        <v>243</v>
      </c>
      <c r="E18" s="540"/>
      <c r="F18" s="524" t="s">
        <v>200</v>
      </c>
      <c r="G18" s="556" t="s">
        <v>201</v>
      </c>
      <c r="H18" s="547" t="s">
        <v>244</v>
      </c>
      <c r="I18" s="548"/>
    </row>
    <row r="19" spans="2:15" ht="33" customHeight="1" thickBot="1" x14ac:dyDescent="0.3">
      <c r="B19" s="615"/>
      <c r="C19" s="616"/>
      <c r="D19" s="250" t="s">
        <v>200</v>
      </c>
      <c r="E19" s="243" t="s">
        <v>201</v>
      </c>
      <c r="F19" s="525"/>
      <c r="G19" s="616"/>
      <c r="H19" s="621"/>
      <c r="I19" s="616"/>
    </row>
    <row r="20" spans="2:15" ht="45" customHeight="1" thickBot="1" x14ac:dyDescent="0.3">
      <c r="B20" s="449" t="s">
        <v>204</v>
      </c>
      <c r="C20" s="229" t="s">
        <v>245</v>
      </c>
      <c r="D20" s="351">
        <v>0</v>
      </c>
      <c r="E20" s="352">
        <v>0</v>
      </c>
      <c r="F20" s="414">
        <v>0</v>
      </c>
      <c r="G20" s="414">
        <v>0</v>
      </c>
      <c r="H20" s="578"/>
      <c r="I20" s="579"/>
      <c r="J20" s="416">
        <v>0.1</v>
      </c>
      <c r="K20" s="416">
        <v>0.1</v>
      </c>
    </row>
    <row r="21" spans="2:15" ht="45" customHeight="1" thickBot="1" x14ac:dyDescent="0.3">
      <c r="B21" s="449" t="s">
        <v>207</v>
      </c>
      <c r="C21" s="230" t="s">
        <v>245</v>
      </c>
      <c r="D21" s="353">
        <v>0</v>
      </c>
      <c r="E21" s="354">
        <v>0</v>
      </c>
      <c r="F21" s="415">
        <v>0</v>
      </c>
      <c r="G21" s="415">
        <v>0</v>
      </c>
      <c r="H21" s="580"/>
      <c r="I21" s="581"/>
      <c r="J21" s="416">
        <v>0.1</v>
      </c>
      <c r="K21" s="416">
        <v>0.1</v>
      </c>
    </row>
    <row r="22" spans="2:15" ht="45" customHeight="1" thickBot="1" x14ac:dyDescent="0.3">
      <c r="B22" s="449" t="s">
        <v>208</v>
      </c>
      <c r="C22" s="230" t="s">
        <v>246</v>
      </c>
      <c r="D22" s="353">
        <v>0</v>
      </c>
      <c r="E22" s="354">
        <v>0</v>
      </c>
      <c r="F22" s="415">
        <v>0</v>
      </c>
      <c r="G22" s="415">
        <v>0</v>
      </c>
      <c r="H22" s="580"/>
      <c r="I22" s="581"/>
      <c r="J22" s="416">
        <v>0.05</v>
      </c>
      <c r="K22" s="416">
        <v>0.05</v>
      </c>
    </row>
    <row r="23" spans="2:15" ht="45" customHeight="1" thickBot="1" x14ac:dyDescent="0.3">
      <c r="B23" s="449" t="s">
        <v>210</v>
      </c>
      <c r="C23" s="230" t="s">
        <v>246</v>
      </c>
      <c r="D23" s="353">
        <v>0</v>
      </c>
      <c r="E23" s="354">
        <v>0</v>
      </c>
      <c r="F23" s="415">
        <v>0</v>
      </c>
      <c r="G23" s="415">
        <v>0</v>
      </c>
      <c r="H23" s="580"/>
      <c r="I23" s="581"/>
      <c r="J23" s="416">
        <v>0.05</v>
      </c>
      <c r="K23" s="416">
        <v>0.05</v>
      </c>
    </row>
    <row r="24" spans="2:15" ht="45" customHeight="1" thickBot="1" x14ac:dyDescent="0.3">
      <c r="B24" s="449" t="s">
        <v>247</v>
      </c>
      <c r="C24" s="230" t="s">
        <v>245</v>
      </c>
      <c r="D24" s="353">
        <v>0</v>
      </c>
      <c r="E24" s="354">
        <v>0</v>
      </c>
      <c r="F24" s="415">
        <v>0</v>
      </c>
      <c r="G24" s="415">
        <v>0</v>
      </c>
      <c r="H24" s="580"/>
      <c r="I24" s="581"/>
      <c r="J24" s="416">
        <v>0.1</v>
      </c>
      <c r="K24" s="416">
        <v>0.1</v>
      </c>
    </row>
    <row r="25" spans="2:15" ht="45" customHeight="1" thickBot="1" x14ac:dyDescent="0.3">
      <c r="B25" s="449" t="s">
        <v>248</v>
      </c>
      <c r="C25" s="230" t="s">
        <v>246</v>
      </c>
      <c r="D25" s="353">
        <v>0</v>
      </c>
      <c r="E25" s="354">
        <v>0</v>
      </c>
      <c r="F25" s="415">
        <v>0</v>
      </c>
      <c r="G25" s="415">
        <v>0</v>
      </c>
      <c r="H25" s="580"/>
      <c r="I25" s="581"/>
      <c r="J25" s="416">
        <v>0.05</v>
      </c>
      <c r="K25" s="416">
        <v>0.05</v>
      </c>
    </row>
    <row r="26" spans="2:15" ht="45" customHeight="1" thickBot="1" x14ac:dyDescent="0.3">
      <c r="B26" s="450" t="s">
        <v>249</v>
      </c>
      <c r="C26" s="231" t="s">
        <v>246</v>
      </c>
      <c r="D26" s="355">
        <v>0</v>
      </c>
      <c r="E26" s="356">
        <v>0</v>
      </c>
      <c r="F26" s="415">
        <v>0</v>
      </c>
      <c r="G26" s="415">
        <v>0</v>
      </c>
      <c r="H26" s="589"/>
      <c r="I26" s="590"/>
      <c r="J26" s="416">
        <v>0.05</v>
      </c>
      <c r="K26" s="416">
        <v>0.05</v>
      </c>
    </row>
    <row r="27" spans="2:15" ht="15.75" thickBot="1" x14ac:dyDescent="0.3">
      <c r="B27" s="167" t="s">
        <v>250</v>
      </c>
      <c r="C27" s="157"/>
      <c r="D27" s="158">
        <f>SUM(D20:D26)</f>
        <v>0</v>
      </c>
      <c r="E27" s="158">
        <f>SUM(E20:E26)</f>
        <v>0</v>
      </c>
      <c r="F27" s="158">
        <f>-1 * SUM(F20:F26)</f>
        <v>0</v>
      </c>
      <c r="G27" s="158">
        <f>SUM(G20:G26)</f>
        <v>0</v>
      </c>
      <c r="H27" s="591" t="s">
        <v>251</v>
      </c>
      <c r="I27" s="591"/>
    </row>
    <row r="28" spans="2:15" x14ac:dyDescent="0.25">
      <c r="B28" s="215"/>
      <c r="C28" s="248"/>
      <c r="D28" s="211"/>
      <c r="E28" s="211"/>
      <c r="F28" s="162"/>
      <c r="G28" s="162"/>
      <c r="H28" s="592"/>
      <c r="I28" s="592"/>
    </row>
    <row r="29" spans="2:15" x14ac:dyDescent="0.25">
      <c r="B29" s="215"/>
      <c r="C29" s="248"/>
      <c r="D29" s="211"/>
      <c r="E29" s="211"/>
      <c r="F29" s="163"/>
      <c r="G29" s="163"/>
      <c r="H29" s="226"/>
      <c r="I29" s="174"/>
    </row>
    <row r="30" spans="2:15" ht="16.5" thickBot="1" x14ac:dyDescent="0.3">
      <c r="B30" s="620" t="s">
        <v>215</v>
      </c>
      <c r="C30" s="620"/>
      <c r="D30" s="620"/>
      <c r="E30" s="593">
        <f>SUM(F27:G27)</f>
        <v>0</v>
      </c>
      <c r="F30" s="593"/>
      <c r="G30" s="201" t="s">
        <v>443</v>
      </c>
      <c r="H30" s="192"/>
      <c r="I30" s="201"/>
    </row>
    <row r="31" spans="2:15" x14ac:dyDescent="0.25">
      <c r="B31" s="255"/>
      <c r="C31" s="208"/>
      <c r="D31" s="210"/>
      <c r="E31" s="201"/>
      <c r="F31" s="210"/>
      <c r="G31" s="201"/>
      <c r="H31" s="201"/>
      <c r="I31" s="201"/>
    </row>
    <row r="32" spans="2:15" ht="16.5" thickBot="1" x14ac:dyDescent="0.3">
      <c r="B32" s="204" t="s">
        <v>217</v>
      </c>
      <c r="C32" s="585" t="str">
        <f>'Worksheet Prep'!D4</f>
        <v/>
      </c>
      <c r="D32" s="585"/>
      <c r="E32" s="244" t="s">
        <v>218</v>
      </c>
      <c r="F32" s="114" t="str">
        <f>IF('Worksheet Prep'!J6&lt;&gt;"",'Worksheet Prep'!J6,"")</f>
        <v/>
      </c>
      <c r="G32" s="202"/>
      <c r="H32" s="202"/>
      <c r="I32" s="202"/>
    </row>
    <row r="33" spans="2:9" x14ac:dyDescent="0.25">
      <c r="B33" s="255"/>
      <c r="C33" s="208"/>
      <c r="D33" s="210"/>
      <c r="E33" s="201"/>
      <c r="F33" s="210"/>
      <c r="G33" s="201"/>
      <c r="H33" s="201"/>
      <c r="I33" s="201"/>
    </row>
    <row r="34" spans="2:9" x14ac:dyDescent="0.25">
      <c r="B34" s="128"/>
      <c r="C34" s="129"/>
      <c r="D34" s="130"/>
      <c r="E34" s="131"/>
      <c r="F34" s="130"/>
      <c r="G34" s="131"/>
      <c r="H34" s="131"/>
      <c r="I34" s="131"/>
    </row>
    <row r="35" spans="2:9" x14ac:dyDescent="0.25">
      <c r="B35" s="201"/>
      <c r="C35" s="201"/>
      <c r="D35" s="201"/>
      <c r="E35" s="201"/>
      <c r="F35" s="201"/>
      <c r="G35" s="201"/>
      <c r="H35" s="201"/>
      <c r="I35" s="201"/>
    </row>
    <row r="36" spans="2:9" ht="18" x14ac:dyDescent="0.25">
      <c r="B36" s="594" t="s">
        <v>252</v>
      </c>
      <c r="C36" s="595"/>
      <c r="D36" s="595"/>
      <c r="E36" s="595"/>
      <c r="F36" s="595"/>
      <c r="G36" s="595"/>
      <c r="H36" s="595"/>
      <c r="I36" s="596"/>
    </row>
    <row r="37" spans="2:9" x14ac:dyDescent="0.25">
      <c r="B37" s="597" t="s">
        <v>227</v>
      </c>
      <c r="C37" s="597"/>
      <c r="D37" s="201"/>
      <c r="E37" s="201"/>
      <c r="F37" s="201"/>
      <c r="G37" s="201"/>
      <c r="H37" s="201"/>
      <c r="I37" s="201"/>
    </row>
    <row r="38" spans="2:9" ht="16.5" thickBot="1" x14ac:dyDescent="0.3">
      <c r="B38" s="206"/>
      <c r="C38" s="201"/>
      <c r="D38" s="201"/>
      <c r="E38" s="201"/>
      <c r="F38" s="201"/>
      <c r="G38" s="201"/>
      <c r="H38" s="201"/>
      <c r="I38" s="201"/>
    </row>
    <row r="39" spans="2:9" x14ac:dyDescent="0.25">
      <c r="B39" s="547" t="s">
        <v>228</v>
      </c>
      <c r="C39" s="549"/>
      <c r="D39" s="547" t="s">
        <v>229</v>
      </c>
      <c r="E39" s="549"/>
      <c r="F39" s="549"/>
      <c r="G39" s="549"/>
      <c r="H39" s="549"/>
      <c r="I39" s="548"/>
    </row>
    <row r="40" spans="2:9" ht="15.75" thickBot="1" x14ac:dyDescent="0.3">
      <c r="B40" s="586" t="str">
        <f>B6</f>
        <v/>
      </c>
      <c r="C40" s="587">
        <f>'STATE CODES (NUM) &amp; MIN-MAX'!G90</f>
        <v>0</v>
      </c>
      <c r="D40" s="586" t="str">
        <f>D6</f>
        <v/>
      </c>
      <c r="E40" s="588"/>
      <c r="F40" s="588"/>
      <c r="G40" s="588"/>
      <c r="H40" s="588"/>
      <c r="I40" s="587"/>
    </row>
    <row r="41" spans="2:9" x14ac:dyDescent="0.25">
      <c r="B41" s="547" t="s">
        <v>230</v>
      </c>
      <c r="C41" s="548"/>
      <c r="D41" s="547" t="s">
        <v>231</v>
      </c>
      <c r="E41" s="549"/>
      <c r="F41" s="549"/>
      <c r="G41" s="549"/>
      <c r="H41" s="549"/>
      <c r="I41" s="548"/>
    </row>
    <row r="42" spans="2:9" ht="15.75" thickBot="1" x14ac:dyDescent="0.3">
      <c r="B42" s="635" t="str">
        <f>IF(B8&lt;&gt;"",B8,"")</f>
        <v/>
      </c>
      <c r="C42" s="636"/>
      <c r="D42" s="571" t="str">
        <f>D8</f>
        <v/>
      </c>
      <c r="E42" s="572"/>
      <c r="F42" s="572"/>
      <c r="G42" s="572"/>
      <c r="H42" s="572"/>
      <c r="I42" s="573"/>
    </row>
    <row r="43" spans="2:9" ht="16.5" thickBot="1" x14ac:dyDescent="0.3">
      <c r="B43" s="547" t="s">
        <v>232</v>
      </c>
      <c r="C43" s="548"/>
      <c r="D43" s="582"/>
      <c r="E43" s="583"/>
      <c r="F43" s="583"/>
      <c r="G43" s="583"/>
      <c r="H43" s="583"/>
      <c r="I43" s="584"/>
    </row>
    <row r="44" spans="2:9" ht="16.5" thickBot="1" x14ac:dyDescent="0.3">
      <c r="B44" s="567" t="str">
        <f>B10</f>
        <v>Praetorian Insurance - 3501</v>
      </c>
      <c r="C44" s="568"/>
      <c r="D44" s="574" t="s">
        <v>233</v>
      </c>
      <c r="E44" s="574"/>
      <c r="F44" s="574"/>
      <c r="G44" s="574"/>
      <c r="H44" s="574"/>
      <c r="I44" s="575"/>
    </row>
    <row r="45" spans="2:9" ht="16.5" thickBot="1" x14ac:dyDescent="0.3">
      <c r="B45" s="569" t="s">
        <v>234</v>
      </c>
      <c r="C45" s="570"/>
      <c r="D45" s="115" t="s">
        <v>235</v>
      </c>
      <c r="E45" s="576" t="str">
        <f>E11</f>
        <v/>
      </c>
      <c r="F45" s="577"/>
      <c r="G45" s="116" t="s">
        <v>236</v>
      </c>
      <c r="H45" s="576" t="str">
        <f>IF(H11&lt;&gt;"",H11,"")</f>
        <v/>
      </c>
      <c r="I45" s="631"/>
    </row>
    <row r="46" spans="2:9" ht="15.75" thickBot="1" x14ac:dyDescent="0.3">
      <c r="B46" s="565">
        <f>VLOOKUP(B44,'STATE CODES (NUM) &amp; MIN-MAX'!B56:D58,3,FALSE)</f>
        <v>21172</v>
      </c>
      <c r="C46" s="566" t="e">
        <f>VLOOKUP(C45,'STATE CODES (NUM) &amp; MIN-MAX'!B91:D93,3,FALSE)</f>
        <v>#N/A</v>
      </c>
      <c r="D46" s="544"/>
      <c r="E46" s="545"/>
      <c r="F46" s="545"/>
      <c r="G46" s="545"/>
      <c r="H46" s="545"/>
      <c r="I46" s="546"/>
    </row>
    <row r="47" spans="2:9" x14ac:dyDescent="0.25">
      <c r="B47" s="547" t="s">
        <v>238</v>
      </c>
      <c r="C47" s="548"/>
      <c r="D47" s="550" t="s">
        <v>239</v>
      </c>
      <c r="E47" s="551"/>
      <c r="F47" s="551"/>
      <c r="G47" s="551"/>
      <c r="H47" s="551"/>
      <c r="I47" s="552"/>
    </row>
    <row r="48" spans="2:9" ht="16.5" thickBot="1" x14ac:dyDescent="0.3">
      <c r="B48" s="567" t="str">
        <f>C32</f>
        <v/>
      </c>
      <c r="C48" s="568"/>
      <c r="D48" s="553"/>
      <c r="E48" s="554"/>
      <c r="F48" s="554"/>
      <c r="G48" s="554"/>
      <c r="H48" s="554"/>
      <c r="I48" s="555"/>
    </row>
    <row r="49" spans="2:11" x14ac:dyDescent="0.25">
      <c r="B49" s="547" t="s">
        <v>240</v>
      </c>
      <c r="C49" s="556"/>
      <c r="D49" s="557" t="s">
        <v>241</v>
      </c>
      <c r="E49" s="558"/>
      <c r="F49" s="558"/>
      <c r="G49" s="558"/>
      <c r="H49" s="558"/>
      <c r="I49" s="559"/>
    </row>
    <row r="50" spans="2:11" ht="16.5" thickBot="1" x14ac:dyDescent="0.3">
      <c r="B50" s="542" t="str">
        <f>IF(B16&lt;&gt;"",B16,"")</f>
        <v/>
      </c>
      <c r="C50" s="543"/>
      <c r="D50" s="560"/>
      <c r="E50" s="561"/>
      <c r="F50" s="561"/>
      <c r="G50" s="561"/>
      <c r="H50" s="561"/>
      <c r="I50" s="562"/>
    </row>
    <row r="51" spans="2:11" ht="15.75" thickBot="1" x14ac:dyDescent="0.3">
      <c r="B51" s="563" t="s">
        <v>242</v>
      </c>
      <c r="C51" s="564"/>
      <c r="D51" s="610" t="s">
        <v>253</v>
      </c>
      <c r="E51" s="611"/>
      <c r="F51" s="611"/>
      <c r="G51" s="611"/>
      <c r="H51" s="611"/>
      <c r="I51" s="612"/>
    </row>
    <row r="52" spans="2:11" x14ac:dyDescent="0.25">
      <c r="B52" s="109"/>
      <c r="C52" s="109"/>
      <c r="D52" s="109"/>
      <c r="E52" s="109"/>
      <c r="F52" s="109"/>
      <c r="G52" s="109"/>
      <c r="H52" s="201"/>
      <c r="I52" s="201"/>
    </row>
    <row r="53" spans="2:11" ht="25.5" x14ac:dyDescent="0.25">
      <c r="B53" s="110" t="s">
        <v>254</v>
      </c>
      <c r="C53" s="110" t="s">
        <v>255</v>
      </c>
      <c r="D53" s="106"/>
      <c r="E53" s="106"/>
      <c r="F53" s="106"/>
      <c r="G53" s="106"/>
      <c r="H53" s="201"/>
      <c r="I53" s="201"/>
    </row>
    <row r="54" spans="2:11" ht="15.75" thickBot="1" x14ac:dyDescent="0.3">
      <c r="B54" s="107" t="s">
        <v>256</v>
      </c>
      <c r="C54" s="108">
        <v>0.75</v>
      </c>
      <c r="D54" s="106"/>
      <c r="E54" s="357"/>
      <c r="F54" s="106"/>
      <c r="G54" s="106"/>
      <c r="H54" s="201"/>
      <c r="I54" s="201"/>
    </row>
    <row r="55" spans="2:11" ht="15.75" thickBot="1" x14ac:dyDescent="0.3">
      <c r="B55" s="107" t="s">
        <v>257</v>
      </c>
      <c r="C55" s="108">
        <v>0.8</v>
      </c>
      <c r="D55" s="226"/>
      <c r="E55" s="358"/>
      <c r="F55" s="226"/>
      <c r="G55" s="226"/>
      <c r="H55" s="201"/>
      <c r="I55" s="201"/>
    </row>
    <row r="56" spans="2:11" ht="15.75" thickBot="1" x14ac:dyDescent="0.3">
      <c r="B56" s="107" t="s">
        <v>258</v>
      </c>
      <c r="C56" s="108">
        <v>0.85</v>
      </c>
      <c r="D56" s="105"/>
      <c r="E56" s="358"/>
      <c r="F56" s="226"/>
      <c r="G56" s="226"/>
      <c r="H56" s="201"/>
      <c r="I56" s="201"/>
    </row>
    <row r="57" spans="2:11" ht="15.75" thickBot="1" x14ac:dyDescent="0.3">
      <c r="B57" s="107" t="s">
        <v>259</v>
      </c>
      <c r="C57" s="108">
        <v>0.9</v>
      </c>
      <c r="D57" s="105"/>
      <c r="E57" s="358"/>
      <c r="F57" s="226"/>
      <c r="G57" s="226"/>
      <c r="H57" s="201"/>
      <c r="I57" s="201"/>
    </row>
    <row r="58" spans="2:11" ht="15.75" thickBot="1" x14ac:dyDescent="0.3">
      <c r="B58" s="107" t="s">
        <v>260</v>
      </c>
      <c r="C58" s="108">
        <v>0.95</v>
      </c>
      <c r="D58" s="104"/>
      <c r="E58" s="358"/>
      <c r="F58" s="226"/>
      <c r="G58" s="226"/>
      <c r="H58" s="201"/>
      <c r="I58" s="201"/>
    </row>
    <row r="59" spans="2:11" ht="15.75" thickBot="1" x14ac:dyDescent="0.3">
      <c r="B59" s="107" t="s">
        <v>261</v>
      </c>
      <c r="C59" s="108">
        <v>1</v>
      </c>
      <c r="D59" s="105"/>
      <c r="E59" s="358"/>
      <c r="F59" s="226"/>
      <c r="G59" s="226"/>
      <c r="H59" s="201"/>
      <c r="I59" s="201"/>
    </row>
    <row r="60" spans="2:11" ht="15.75" thickBot="1" x14ac:dyDescent="0.3">
      <c r="B60" s="107" t="s">
        <v>262</v>
      </c>
      <c r="C60" s="108">
        <v>1.05</v>
      </c>
      <c r="D60" s="105"/>
      <c r="E60" s="358"/>
      <c r="F60" s="226"/>
      <c r="G60" s="226"/>
      <c r="H60" s="201"/>
      <c r="I60" s="201"/>
    </row>
    <row r="61" spans="2:11" ht="15.75" thickBot="1" x14ac:dyDescent="0.3">
      <c r="B61" s="107" t="s">
        <v>263</v>
      </c>
      <c r="C61" s="108">
        <v>1.1000000000000001</v>
      </c>
      <c r="D61" s="105"/>
      <c r="E61" s="358"/>
      <c r="F61" s="226"/>
      <c r="G61" s="226"/>
      <c r="H61" s="201"/>
      <c r="I61" s="201"/>
    </row>
    <row r="62" spans="2:11" ht="15.75" thickBot="1" x14ac:dyDescent="0.3">
      <c r="B62" s="107" t="s">
        <v>264</v>
      </c>
      <c r="C62" s="108">
        <v>1.1499999999999999</v>
      </c>
      <c r="D62" s="105"/>
      <c r="E62" s="358"/>
      <c r="F62" s="226"/>
      <c r="G62" s="226"/>
      <c r="H62" s="201"/>
      <c r="I62" s="201"/>
    </row>
    <row r="63" spans="2:11" ht="15.75" thickBot="1" x14ac:dyDescent="0.3">
      <c r="B63" s="107" t="s">
        <v>265</v>
      </c>
      <c r="C63" s="108">
        <v>1.2</v>
      </c>
      <c r="D63" s="105"/>
      <c r="E63" s="358"/>
      <c r="F63" s="226"/>
      <c r="G63" s="226"/>
      <c r="H63" s="201"/>
      <c r="I63" s="201"/>
      <c r="J63" s="201"/>
      <c r="K63" s="102"/>
    </row>
    <row r="64" spans="2:11" ht="15.75" thickBot="1" x14ac:dyDescent="0.3">
      <c r="B64" s="107" t="s">
        <v>266</v>
      </c>
      <c r="C64" s="108">
        <v>1.25</v>
      </c>
      <c r="D64" s="105"/>
      <c r="E64" s="358"/>
      <c r="F64" s="226"/>
      <c r="G64" s="226"/>
      <c r="H64" s="201"/>
      <c r="I64" s="201"/>
      <c r="J64" s="201"/>
      <c r="K64" s="102"/>
    </row>
    <row r="65" spans="2:11" ht="15.75" thickBot="1" x14ac:dyDescent="0.3">
      <c r="B65" s="226"/>
      <c r="C65" s="226"/>
      <c r="D65" s="105" t="s">
        <v>267</v>
      </c>
      <c r="E65" s="359"/>
      <c r="F65" s="226"/>
      <c r="G65" s="226"/>
      <c r="H65" s="201"/>
      <c r="I65" s="201"/>
      <c r="J65" s="201"/>
      <c r="K65" s="102"/>
    </row>
    <row r="66" spans="2:11" x14ac:dyDescent="0.25">
      <c r="B66" s="613" t="s">
        <v>268</v>
      </c>
      <c r="C66" s="613"/>
      <c r="D66" s="613"/>
      <c r="E66" s="613"/>
      <c r="F66" s="613"/>
      <c r="G66" s="613"/>
      <c r="H66" s="613"/>
      <c r="I66" s="613"/>
      <c r="J66" s="201"/>
      <c r="K66" s="102"/>
    </row>
    <row r="67" spans="2:11" x14ac:dyDescent="0.25">
      <c r="B67" s="541" t="s">
        <v>269</v>
      </c>
      <c r="C67" s="541"/>
      <c r="D67" s="541"/>
      <c r="E67" s="541"/>
      <c r="F67" s="541"/>
      <c r="G67" s="541"/>
      <c r="H67" s="541"/>
      <c r="I67" s="541"/>
      <c r="J67" s="113"/>
      <c r="K67" s="113"/>
    </row>
    <row r="68" spans="2:11" x14ac:dyDescent="0.25">
      <c r="B68" s="111"/>
      <c r="C68" s="111"/>
      <c r="D68" s="111"/>
      <c r="E68" s="111"/>
      <c r="F68" s="111"/>
      <c r="G68" s="111"/>
      <c r="H68" s="201"/>
      <c r="I68" s="201"/>
      <c r="J68" s="201"/>
      <c r="K68" s="102"/>
    </row>
    <row r="69" spans="2:11" x14ac:dyDescent="0.25">
      <c r="B69" s="201"/>
      <c r="C69" s="201"/>
      <c r="D69" s="111"/>
      <c r="E69" s="111"/>
      <c r="F69" s="111"/>
      <c r="G69" s="111"/>
      <c r="H69" s="201"/>
      <c r="I69" s="201"/>
      <c r="J69" s="201"/>
      <c r="K69" s="102"/>
    </row>
    <row r="70" spans="2:11" ht="16.5" thickBot="1" x14ac:dyDescent="0.3">
      <c r="B70" s="204" t="s">
        <v>217</v>
      </c>
      <c r="C70" s="585" t="str">
        <f>C32</f>
        <v/>
      </c>
      <c r="D70" s="585"/>
      <c r="E70" s="244" t="s">
        <v>218</v>
      </c>
      <c r="F70" s="114" t="str">
        <f>IF('Worksheet Prep'!J6&lt;&gt;"",'Worksheet Prep'!J6,"")</f>
        <v/>
      </c>
      <c r="G70" s="202"/>
      <c r="H70" s="202"/>
      <c r="I70" s="202"/>
      <c r="J70" s="202"/>
      <c r="K70" s="103"/>
    </row>
  </sheetData>
  <sheetProtection algorithmName="SHA-512" hashValue="hJrpn2GHtO9fkJ9ozVxELoL8LW0hueBiYvZwJ5DaPTZ4SGB7RqGerEThczqteXkZaKZLTgPtYyTVa2+Jl+9gtA==" saltValue="uDGn7BX502XNLXjoll+cKA==" spinCount="100000" sheet="1" objects="1" scenarios="1" selectLockedCells="1"/>
  <mergeCells count="75">
    <mergeCell ref="D51:I51"/>
    <mergeCell ref="B66:I66"/>
    <mergeCell ref="B18:B19"/>
    <mergeCell ref="C18:C19"/>
    <mergeCell ref="D9:I9"/>
    <mergeCell ref="B30:D30"/>
    <mergeCell ref="D10:I10"/>
    <mergeCell ref="G18:G19"/>
    <mergeCell ref="H18:I19"/>
    <mergeCell ref="B12:C12"/>
    <mergeCell ref="D12:I12"/>
    <mergeCell ref="B15:C15"/>
    <mergeCell ref="D14:I14"/>
    <mergeCell ref="H45:I45"/>
    <mergeCell ref="D17:I17"/>
    <mergeCell ref="B42:C42"/>
    <mergeCell ref="C70:D70"/>
    <mergeCell ref="B36:I36"/>
    <mergeCell ref="B37:C37"/>
    <mergeCell ref="B39:C39"/>
    <mergeCell ref="B2:I2"/>
    <mergeCell ref="B5:C5"/>
    <mergeCell ref="D5:I5"/>
    <mergeCell ref="B6:C6"/>
    <mergeCell ref="B10:C10"/>
    <mergeCell ref="E11:F11"/>
    <mergeCell ref="H11:I11"/>
    <mergeCell ref="B11:C11"/>
    <mergeCell ref="B7:C7"/>
    <mergeCell ref="D7:I7"/>
    <mergeCell ref="B8:C8"/>
    <mergeCell ref="B9:C9"/>
    <mergeCell ref="B43:C43"/>
    <mergeCell ref="B44:C44"/>
    <mergeCell ref="H20:I20"/>
    <mergeCell ref="H21:I21"/>
    <mergeCell ref="H22:I22"/>
    <mergeCell ref="H23:I23"/>
    <mergeCell ref="H24:I24"/>
    <mergeCell ref="D43:I43"/>
    <mergeCell ref="C32:D32"/>
    <mergeCell ref="D39:I39"/>
    <mergeCell ref="B40:C40"/>
    <mergeCell ref="D40:I40"/>
    <mergeCell ref="H25:I25"/>
    <mergeCell ref="H26:I26"/>
    <mergeCell ref="H27:I28"/>
    <mergeCell ref="E30:F30"/>
    <mergeCell ref="B67:I67"/>
    <mergeCell ref="B50:C50"/>
    <mergeCell ref="D46:I46"/>
    <mergeCell ref="B41:C41"/>
    <mergeCell ref="D41:I41"/>
    <mergeCell ref="D47:I48"/>
    <mergeCell ref="B49:C49"/>
    <mergeCell ref="D49:I50"/>
    <mergeCell ref="B51:C51"/>
    <mergeCell ref="B46:C46"/>
    <mergeCell ref="B47:C47"/>
    <mergeCell ref="B48:C48"/>
    <mergeCell ref="B45:C45"/>
    <mergeCell ref="D42:I42"/>
    <mergeCell ref="D44:I44"/>
    <mergeCell ref="E45:F45"/>
    <mergeCell ref="B14:C14"/>
    <mergeCell ref="D15:I16"/>
    <mergeCell ref="B3:C3"/>
    <mergeCell ref="B13:C13"/>
    <mergeCell ref="F18:F19"/>
    <mergeCell ref="D13:F13"/>
    <mergeCell ref="G13:I13"/>
    <mergeCell ref="B16:C17"/>
    <mergeCell ref="D6:G6"/>
    <mergeCell ref="D8:G8"/>
    <mergeCell ref="D18:E18"/>
  </mergeCells>
  <conditionalFormatting sqref="F20">
    <cfRule type="cellIs" dxfId="1686" priority="45" operator="lessThan">
      <formula>0%</formula>
    </cfRule>
    <cfRule type="cellIs" dxfId="1685" priority="46" operator="greaterThan">
      <formula>J20</formula>
    </cfRule>
    <cfRule type="cellIs" dxfId="1684" priority="47" operator="between">
      <formula>0%</formula>
      <formula>J20</formula>
    </cfRule>
  </conditionalFormatting>
  <conditionalFormatting sqref="G20">
    <cfRule type="cellIs" dxfId="1683" priority="42" operator="lessThan">
      <formula>0%</formula>
    </cfRule>
    <cfRule type="cellIs" dxfId="1682" priority="43" operator="greaterThan">
      <formula>K20</formula>
    </cfRule>
    <cfRule type="cellIs" dxfId="1681" priority="44" operator="between">
      <formula>0%</formula>
      <formula>K20</formula>
    </cfRule>
  </conditionalFormatting>
  <conditionalFormatting sqref="F21">
    <cfRule type="cellIs" dxfId="1680" priority="39" operator="lessThan">
      <formula>0%</formula>
    </cfRule>
    <cfRule type="cellIs" dxfId="1679" priority="40" operator="greaterThan">
      <formula>J21</formula>
    </cfRule>
    <cfRule type="cellIs" dxfId="1678" priority="41" operator="between">
      <formula>0%</formula>
      <formula>J21</formula>
    </cfRule>
  </conditionalFormatting>
  <conditionalFormatting sqref="G21">
    <cfRule type="cellIs" dxfId="1677" priority="36" operator="lessThan">
      <formula>0%</formula>
    </cfRule>
    <cfRule type="cellIs" dxfId="1676" priority="37" operator="greaterThan">
      <formula>K21</formula>
    </cfRule>
    <cfRule type="cellIs" dxfId="1675" priority="38" operator="between">
      <formula>0%</formula>
      <formula>K21</formula>
    </cfRule>
  </conditionalFormatting>
  <conditionalFormatting sqref="G22">
    <cfRule type="cellIs" dxfId="1674" priority="33" operator="lessThan">
      <formula>0%</formula>
    </cfRule>
    <cfRule type="cellIs" dxfId="1673" priority="34" operator="greaterThan">
      <formula>K22</formula>
    </cfRule>
    <cfRule type="cellIs" dxfId="1672" priority="35" operator="between">
      <formula>0%</formula>
      <formula>K22</formula>
    </cfRule>
  </conditionalFormatting>
  <conditionalFormatting sqref="F22">
    <cfRule type="cellIs" dxfId="1671" priority="30" operator="lessThan">
      <formula>0%</formula>
    </cfRule>
    <cfRule type="cellIs" dxfId="1670" priority="31" operator="greaterThan">
      <formula>J22</formula>
    </cfRule>
    <cfRule type="cellIs" dxfId="1669" priority="32" operator="between">
      <formula>0%</formula>
      <formula>J22</formula>
    </cfRule>
  </conditionalFormatting>
  <conditionalFormatting sqref="F23">
    <cfRule type="cellIs" dxfId="1668" priority="27" operator="lessThan">
      <formula>0%</formula>
    </cfRule>
    <cfRule type="cellIs" dxfId="1667" priority="28" operator="greaterThan">
      <formula>J23</formula>
    </cfRule>
    <cfRule type="cellIs" dxfId="1666" priority="29" operator="between">
      <formula>0%</formula>
      <formula>J23</formula>
    </cfRule>
  </conditionalFormatting>
  <conditionalFormatting sqref="G23">
    <cfRule type="cellIs" dxfId="1665" priority="24" operator="lessThan">
      <formula>0%</formula>
    </cfRule>
    <cfRule type="cellIs" dxfId="1664" priority="25" operator="greaterThan">
      <formula>K23</formula>
    </cfRule>
    <cfRule type="cellIs" dxfId="1663" priority="26" operator="between">
      <formula>0%</formula>
      <formula>K23</formula>
    </cfRule>
  </conditionalFormatting>
  <conditionalFormatting sqref="G24">
    <cfRule type="cellIs" dxfId="1662" priority="21" operator="lessThan">
      <formula>0%</formula>
    </cfRule>
    <cfRule type="cellIs" dxfId="1661" priority="22" operator="greaterThan">
      <formula>K24</formula>
    </cfRule>
    <cfRule type="cellIs" dxfId="1660" priority="23" operator="between">
      <formula>0%</formula>
      <formula>K24</formula>
    </cfRule>
  </conditionalFormatting>
  <conditionalFormatting sqref="F24">
    <cfRule type="cellIs" dxfId="1659" priority="18" operator="lessThan">
      <formula>0%</formula>
    </cfRule>
    <cfRule type="cellIs" dxfId="1658" priority="19" operator="greaterThan">
      <formula>J24</formula>
    </cfRule>
    <cfRule type="cellIs" dxfId="1657" priority="20" operator="between">
      <formula>0%</formula>
      <formula>J24</formula>
    </cfRule>
  </conditionalFormatting>
  <conditionalFormatting sqref="G25">
    <cfRule type="cellIs" dxfId="1656" priority="12" operator="lessThan">
      <formula>0%</formula>
    </cfRule>
    <cfRule type="cellIs" dxfId="1655" priority="13" operator="greaterThan">
      <formula>K25</formula>
    </cfRule>
    <cfRule type="cellIs" dxfId="1654" priority="14" operator="between">
      <formula>0%</formula>
      <formula>K25</formula>
    </cfRule>
  </conditionalFormatting>
  <conditionalFormatting sqref="G26">
    <cfRule type="cellIs" dxfId="1653" priority="9" operator="lessThan">
      <formula>0%</formula>
    </cfRule>
    <cfRule type="cellIs" dxfId="1652" priority="10" operator="greaterThan">
      <formula>K26</formula>
    </cfRule>
    <cfRule type="cellIs" dxfId="1651" priority="11" operator="between">
      <formula>0%</formula>
      <formula>K26</formula>
    </cfRule>
  </conditionalFormatting>
  <conditionalFormatting sqref="F26">
    <cfRule type="cellIs" dxfId="1650" priority="6" operator="lessThan">
      <formula>0%</formula>
    </cfRule>
    <cfRule type="cellIs" dxfId="1649" priority="7" operator="greaterThan">
      <formula>J26</formula>
    </cfRule>
    <cfRule type="cellIs" dxfId="1648" priority="8" operator="between">
      <formula>0%</formula>
      <formula>J26</formula>
    </cfRule>
  </conditionalFormatting>
  <conditionalFormatting sqref="F25">
    <cfRule type="cellIs" dxfId="1647" priority="3" operator="lessThan">
      <formula>0%</formula>
    </cfRule>
    <cfRule type="cellIs" dxfId="1646" priority="4" operator="greaterThan">
      <formula>J25</formula>
    </cfRule>
    <cfRule type="cellIs" dxfId="1645" priority="5" operator="between">
      <formula>0%</formula>
      <formula>J25</formula>
    </cfRule>
  </conditionalFormatting>
  <pageMargins left="0.7" right="0.7" top="0.75" bottom="0.75" header="0.3" footer="0.3"/>
  <pageSetup scale="75" fitToHeight="0" orientation="portrait" r:id="rId1"/>
  <rowBreaks count="1" manualBreakCount="1">
    <brk id="33" min="1" max="8" man="1"/>
  </rowBreaks>
  <colBreaks count="1" manualBreakCount="1">
    <brk id="9" max="1048575" man="1"/>
  </colBreaks>
  <ignoredErrors>
    <ignoredError sqref="F2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6" r:id="rId4" name="Check Box 2">
              <controlPr locked="0" defaultSize="0" autoFill="0" autoLine="0" autoPict="0">
                <anchor moveWithCells="1">
                  <from>
                    <xdr:col>3</xdr:col>
                    <xdr:colOff>76200</xdr:colOff>
                    <xdr:row>7</xdr:row>
                    <xdr:rowOff>190500</xdr:rowOff>
                  </from>
                  <to>
                    <xdr:col>4</xdr:col>
                    <xdr:colOff>19050</xdr:colOff>
                    <xdr:row>8</xdr:row>
                    <xdr:rowOff>219075</xdr:rowOff>
                  </to>
                </anchor>
              </controlPr>
            </control>
          </mc:Choice>
        </mc:AlternateContent>
        <mc:AlternateContent xmlns:mc="http://schemas.openxmlformats.org/markup-compatibility/2006">
          <mc:Choice Requires="x14">
            <control shapeId="6147" r:id="rId5" name="Check Box 3">
              <controlPr locked="0" defaultSize="0" autoFill="0" autoLine="0" autoPict="0">
                <anchor moveWithCells="1">
                  <from>
                    <xdr:col>3</xdr:col>
                    <xdr:colOff>695325</xdr:colOff>
                    <xdr:row>7</xdr:row>
                    <xdr:rowOff>190500</xdr:rowOff>
                  </from>
                  <to>
                    <xdr:col>4</xdr:col>
                    <xdr:colOff>638175</xdr:colOff>
                    <xdr:row>8</xdr:row>
                    <xdr:rowOff>219075</xdr:rowOff>
                  </to>
                </anchor>
              </controlPr>
            </control>
          </mc:Choice>
        </mc:AlternateContent>
        <mc:AlternateContent xmlns:mc="http://schemas.openxmlformats.org/markup-compatibility/2006">
          <mc:Choice Requires="x14">
            <control shapeId="6148" r:id="rId6" name="Check Box 4">
              <controlPr locked="0" defaultSize="0" autoFill="0" autoLine="0" autoPict="0">
                <anchor moveWithCells="1">
                  <from>
                    <xdr:col>3</xdr:col>
                    <xdr:colOff>657225</xdr:colOff>
                    <xdr:row>11</xdr:row>
                    <xdr:rowOff>190500</xdr:rowOff>
                  </from>
                  <to>
                    <xdr:col>4</xdr:col>
                    <xdr:colOff>581025</xdr:colOff>
                    <xdr:row>12</xdr:row>
                    <xdr:rowOff>200025</xdr:rowOff>
                  </to>
                </anchor>
              </controlPr>
            </control>
          </mc:Choice>
        </mc:AlternateContent>
        <mc:AlternateContent xmlns:mc="http://schemas.openxmlformats.org/markup-compatibility/2006">
          <mc:Choice Requires="x14">
            <control shapeId="6149" r:id="rId7" name="Check Box 5">
              <controlPr locked="0" defaultSize="0" autoFill="0" autoLine="0" autoPict="0">
                <anchor moveWithCells="1">
                  <from>
                    <xdr:col>4</xdr:col>
                    <xdr:colOff>419100</xdr:colOff>
                    <xdr:row>11</xdr:row>
                    <xdr:rowOff>190500</xdr:rowOff>
                  </from>
                  <to>
                    <xdr:col>5</xdr:col>
                    <xdr:colOff>419100</xdr:colOff>
                    <xdr:row>12</xdr:row>
                    <xdr:rowOff>200025</xdr:rowOff>
                  </to>
                </anchor>
              </controlPr>
            </control>
          </mc:Choice>
        </mc:AlternateContent>
        <mc:AlternateContent xmlns:mc="http://schemas.openxmlformats.org/markup-compatibility/2006">
          <mc:Choice Requires="x14">
            <control shapeId="6150" r:id="rId8" name="Check Box 6">
              <controlPr locked="0" defaultSize="0" autoFill="0" autoLine="0" autoPict="0">
                <anchor moveWithCells="1">
                  <from>
                    <xdr:col>6</xdr:col>
                    <xdr:colOff>447675</xdr:colOff>
                    <xdr:row>12</xdr:row>
                    <xdr:rowOff>200025</xdr:rowOff>
                  </from>
                  <to>
                    <xdr:col>7</xdr:col>
                    <xdr:colOff>333375</xdr:colOff>
                    <xdr:row>13</xdr:row>
                    <xdr:rowOff>200025</xdr:rowOff>
                  </to>
                </anchor>
              </controlPr>
            </control>
          </mc:Choice>
        </mc:AlternateContent>
        <mc:AlternateContent xmlns:mc="http://schemas.openxmlformats.org/markup-compatibility/2006">
          <mc:Choice Requires="x14">
            <control shapeId="6151" r:id="rId9" name="Check Box 7">
              <controlPr locked="0" defaultSize="0" autoFill="0" autoLine="0" autoPict="0">
                <anchor moveWithCells="1">
                  <from>
                    <xdr:col>7</xdr:col>
                    <xdr:colOff>171450</xdr:colOff>
                    <xdr:row>12</xdr:row>
                    <xdr:rowOff>200025</xdr:rowOff>
                  </from>
                  <to>
                    <xdr:col>8</xdr:col>
                    <xdr:colOff>342900</xdr:colOff>
                    <xdr:row>13</xdr:row>
                    <xdr:rowOff>200025</xdr:rowOff>
                  </to>
                </anchor>
              </controlPr>
            </control>
          </mc:Choice>
        </mc:AlternateContent>
        <mc:AlternateContent xmlns:mc="http://schemas.openxmlformats.org/markup-compatibility/2006">
          <mc:Choice Requires="x14">
            <control shapeId="6152" r:id="rId10" name="Check Box 8">
              <controlPr locked="0" defaultSize="0" autoFill="0" autoLine="0" autoPict="0">
                <anchor moveWithCells="1">
                  <from>
                    <xdr:col>3</xdr:col>
                    <xdr:colOff>666750</xdr:colOff>
                    <xdr:row>14</xdr:row>
                    <xdr:rowOff>152400</xdr:rowOff>
                  </from>
                  <to>
                    <xdr:col>4</xdr:col>
                    <xdr:colOff>590550</xdr:colOff>
                    <xdr:row>15</xdr:row>
                    <xdr:rowOff>171450</xdr:rowOff>
                  </to>
                </anchor>
              </controlPr>
            </control>
          </mc:Choice>
        </mc:AlternateContent>
        <mc:AlternateContent xmlns:mc="http://schemas.openxmlformats.org/markup-compatibility/2006">
          <mc:Choice Requires="x14">
            <control shapeId="6153" r:id="rId11" name="Check Box 9">
              <controlPr locked="0" defaultSize="0" autoFill="0" autoLine="0" autoPict="0">
                <anchor moveWithCells="1">
                  <from>
                    <xdr:col>4</xdr:col>
                    <xdr:colOff>428625</xdr:colOff>
                    <xdr:row>14</xdr:row>
                    <xdr:rowOff>152400</xdr:rowOff>
                  </from>
                  <to>
                    <xdr:col>5</xdr:col>
                    <xdr:colOff>428625</xdr:colOff>
                    <xdr:row>15</xdr:row>
                    <xdr:rowOff>171450</xdr:rowOff>
                  </to>
                </anchor>
              </controlPr>
            </control>
          </mc:Choice>
        </mc:AlternateContent>
        <mc:AlternateContent xmlns:mc="http://schemas.openxmlformats.org/markup-compatibility/2006">
          <mc:Choice Requires="x14">
            <control shapeId="6154" r:id="rId12" name="Check Box 10">
              <controlPr locked="0" defaultSize="0" autoFill="0" autoLine="0" autoPict="0">
                <anchor moveWithCells="1">
                  <from>
                    <xdr:col>6</xdr:col>
                    <xdr:colOff>438150</xdr:colOff>
                    <xdr:row>15</xdr:row>
                    <xdr:rowOff>190500</xdr:rowOff>
                  </from>
                  <to>
                    <xdr:col>7</xdr:col>
                    <xdr:colOff>323850</xdr:colOff>
                    <xdr:row>16</xdr:row>
                    <xdr:rowOff>190500</xdr:rowOff>
                  </to>
                </anchor>
              </controlPr>
            </control>
          </mc:Choice>
        </mc:AlternateContent>
        <mc:AlternateContent xmlns:mc="http://schemas.openxmlformats.org/markup-compatibility/2006">
          <mc:Choice Requires="x14">
            <control shapeId="6155" r:id="rId13" name="Check Box 11">
              <controlPr locked="0" defaultSize="0" autoFill="0" autoLine="0" autoPict="0">
                <anchor moveWithCells="1">
                  <from>
                    <xdr:col>7</xdr:col>
                    <xdr:colOff>161925</xdr:colOff>
                    <xdr:row>15</xdr:row>
                    <xdr:rowOff>190500</xdr:rowOff>
                  </from>
                  <to>
                    <xdr:col>8</xdr:col>
                    <xdr:colOff>333375</xdr:colOff>
                    <xdr:row>16</xdr:row>
                    <xdr:rowOff>190500</xdr:rowOff>
                  </to>
                </anchor>
              </controlPr>
            </control>
          </mc:Choice>
        </mc:AlternateContent>
        <mc:AlternateContent xmlns:mc="http://schemas.openxmlformats.org/markup-compatibility/2006">
          <mc:Choice Requires="x14">
            <control shapeId="6161" r:id="rId14" name="Check Box 17">
              <controlPr locked="0" defaultSize="0" autoFill="0" autoLine="0" autoPict="0">
                <anchor moveWithCells="1">
                  <from>
                    <xdr:col>6</xdr:col>
                    <xdr:colOff>438150</xdr:colOff>
                    <xdr:row>46</xdr:row>
                    <xdr:rowOff>76200</xdr:rowOff>
                  </from>
                  <to>
                    <xdr:col>7</xdr:col>
                    <xdr:colOff>323850</xdr:colOff>
                    <xdr:row>47</xdr:row>
                    <xdr:rowOff>95250</xdr:rowOff>
                  </to>
                </anchor>
              </controlPr>
            </control>
          </mc:Choice>
        </mc:AlternateContent>
        <mc:AlternateContent xmlns:mc="http://schemas.openxmlformats.org/markup-compatibility/2006">
          <mc:Choice Requires="x14">
            <control shapeId="6162" r:id="rId15" name="Check Box 18">
              <controlPr locked="0" defaultSize="0" autoFill="0" autoLine="0" autoPict="0">
                <anchor moveWithCells="1">
                  <from>
                    <xdr:col>7</xdr:col>
                    <xdr:colOff>161925</xdr:colOff>
                    <xdr:row>46</xdr:row>
                    <xdr:rowOff>76200</xdr:rowOff>
                  </from>
                  <to>
                    <xdr:col>8</xdr:col>
                    <xdr:colOff>333375</xdr:colOff>
                    <xdr:row>47</xdr:row>
                    <xdr:rowOff>95250</xdr:rowOff>
                  </to>
                </anchor>
              </controlPr>
            </control>
          </mc:Choice>
        </mc:AlternateContent>
        <mc:AlternateContent xmlns:mc="http://schemas.openxmlformats.org/markup-compatibility/2006">
          <mc:Choice Requires="x14">
            <control shapeId="6165" r:id="rId16" name="Check Box 21">
              <controlPr locked="0" defaultSize="0" autoFill="0" autoLine="0" autoPict="0">
                <anchor moveWithCells="1">
                  <from>
                    <xdr:col>3</xdr:col>
                    <xdr:colOff>819150</xdr:colOff>
                    <xdr:row>48</xdr:row>
                    <xdr:rowOff>133350</xdr:rowOff>
                  </from>
                  <to>
                    <xdr:col>4</xdr:col>
                    <xdr:colOff>742950</xdr:colOff>
                    <xdr:row>49</xdr:row>
                    <xdr:rowOff>161925</xdr:rowOff>
                  </to>
                </anchor>
              </controlPr>
            </control>
          </mc:Choice>
        </mc:AlternateContent>
        <mc:AlternateContent xmlns:mc="http://schemas.openxmlformats.org/markup-compatibility/2006">
          <mc:Choice Requires="x14">
            <control shapeId="6166" r:id="rId17" name="Check Box 22">
              <controlPr locked="0" defaultSize="0" autoFill="0" autoLine="0" autoPict="0">
                <anchor moveWithCells="1">
                  <from>
                    <xdr:col>4</xdr:col>
                    <xdr:colOff>581025</xdr:colOff>
                    <xdr:row>48</xdr:row>
                    <xdr:rowOff>133350</xdr:rowOff>
                  </from>
                  <to>
                    <xdr:col>5</xdr:col>
                    <xdr:colOff>590550</xdr:colOff>
                    <xdr:row>49</xdr:row>
                    <xdr:rowOff>161925</xdr:rowOff>
                  </to>
                </anchor>
              </controlPr>
            </control>
          </mc:Choice>
        </mc:AlternateContent>
        <mc:AlternateContent xmlns:mc="http://schemas.openxmlformats.org/markup-compatibility/2006">
          <mc:Choice Requires="x14">
            <control shapeId="6167" r:id="rId18" name="Check Box 23">
              <controlPr locked="0" defaultSize="0" autoFill="0" autoLine="0" autoPict="0">
                <anchor moveWithCells="1">
                  <from>
                    <xdr:col>5</xdr:col>
                    <xdr:colOff>895350</xdr:colOff>
                    <xdr:row>49</xdr:row>
                    <xdr:rowOff>190500</xdr:rowOff>
                  </from>
                  <to>
                    <xdr:col>6</xdr:col>
                    <xdr:colOff>733425</xdr:colOff>
                    <xdr:row>50</xdr:row>
                    <xdr:rowOff>190500</xdr:rowOff>
                  </to>
                </anchor>
              </controlPr>
            </control>
          </mc:Choice>
        </mc:AlternateContent>
        <mc:AlternateContent xmlns:mc="http://schemas.openxmlformats.org/markup-compatibility/2006">
          <mc:Choice Requires="x14">
            <control shapeId="6168" r:id="rId19" name="Check Box 24">
              <controlPr locked="0" defaultSize="0" autoFill="0" autoLine="0" autoPict="0">
                <anchor moveWithCells="1">
                  <from>
                    <xdr:col>6</xdr:col>
                    <xdr:colOff>571500</xdr:colOff>
                    <xdr:row>49</xdr:row>
                    <xdr:rowOff>190500</xdr:rowOff>
                  </from>
                  <to>
                    <xdr:col>7</xdr:col>
                    <xdr:colOff>457200</xdr:colOff>
                    <xdr:row>50</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lessThan" id="{DF126DDD-2E98-4119-9A95-AE384621F324}">
            <xm:f>-1*('STATE CODES (NUM) &amp; MIN-MAX'!$D$5)</xm:f>
            <x14:dxf>
              <font>
                <color rgb="FF9C0006"/>
              </font>
              <fill>
                <patternFill>
                  <bgColor rgb="FFFFC7CE"/>
                </patternFill>
              </fill>
            </x14:dxf>
          </x14:cfRule>
          <x14:cfRule type="cellIs" priority="2" operator="greaterThan" id="{F6D6FE67-2F31-4BDA-B10E-33A57B389596}">
            <xm:f>'STATE CODES (NUM) &amp; MIN-MAX'!$E$5</xm:f>
            <x14:dxf>
              <font>
                <color rgb="FF9C0006"/>
              </font>
              <fill>
                <patternFill>
                  <bgColor rgb="FFFFC7CE"/>
                </patternFill>
              </fill>
            </x14:dxf>
          </x14:cfRule>
          <xm:sqref>E30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100</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125" t="str">
        <f>IF('Worksheet Prep'!G5&lt;&gt;"",'Worksheet Prep'!G5,"")</f>
        <v/>
      </c>
      <c r="G6" s="125"/>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506"/>
      <c r="E10" s="506"/>
      <c r="F10" s="504"/>
      <c r="G10" s="50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497" t="s">
        <v>198</v>
      </c>
      <c r="C15" s="497" t="s">
        <v>199</v>
      </c>
      <c r="D15" s="497" t="s">
        <v>200</v>
      </c>
      <c r="E15" s="497" t="s">
        <v>201</v>
      </c>
      <c r="F15" s="497" t="s">
        <v>202</v>
      </c>
      <c r="G15" s="497" t="s">
        <v>203</v>
      </c>
    </row>
    <row r="16" spans="1:8" ht="15.75" thickBot="1" x14ac:dyDescent="0.3">
      <c r="B16" s="498"/>
      <c r="C16" s="498"/>
      <c r="D16" s="498"/>
      <c r="E16" s="498"/>
      <c r="F16" s="498"/>
      <c r="G16" s="498"/>
    </row>
    <row r="17" spans="2:9" ht="45" customHeight="1" thickBot="1" x14ac:dyDescent="0.3">
      <c r="B17" s="262" t="s">
        <v>293</v>
      </c>
      <c r="C17" s="135" t="s">
        <v>205</v>
      </c>
      <c r="D17" s="348">
        <v>0</v>
      </c>
      <c r="E17" s="348">
        <v>0</v>
      </c>
      <c r="F17" s="347"/>
      <c r="G17" s="408" t="s">
        <v>206</v>
      </c>
      <c r="H17" s="407">
        <v>0.1</v>
      </c>
      <c r="I17" s="407">
        <v>0.1</v>
      </c>
    </row>
    <row r="18" spans="2:9" ht="45" customHeight="1" thickBot="1" x14ac:dyDescent="0.3">
      <c r="B18" s="263" t="s">
        <v>294</v>
      </c>
      <c r="C18" s="140" t="s">
        <v>225</v>
      </c>
      <c r="D18" s="348">
        <v>0</v>
      </c>
      <c r="E18" s="348">
        <v>0</v>
      </c>
      <c r="F18" s="349"/>
      <c r="G18" s="409" t="s">
        <v>206</v>
      </c>
      <c r="H18" s="407">
        <v>0.2</v>
      </c>
      <c r="I18" s="407">
        <v>0.2</v>
      </c>
    </row>
    <row r="19" spans="2:9" ht="45" customHeight="1" thickBot="1" x14ac:dyDescent="0.3">
      <c r="B19" s="263" t="s">
        <v>208</v>
      </c>
      <c r="C19" s="138" t="s">
        <v>205</v>
      </c>
      <c r="D19" s="348">
        <v>0</v>
      </c>
      <c r="E19" s="348">
        <v>0</v>
      </c>
      <c r="F19" s="349"/>
      <c r="G19" s="409" t="s">
        <v>206</v>
      </c>
      <c r="H19" s="407">
        <v>0.1</v>
      </c>
      <c r="I19" s="407">
        <v>0.1</v>
      </c>
    </row>
    <row r="20" spans="2:9" ht="45" customHeight="1" thickBot="1" x14ac:dyDescent="0.3">
      <c r="B20" s="263" t="s">
        <v>210</v>
      </c>
      <c r="C20" s="138" t="s">
        <v>205</v>
      </c>
      <c r="D20" s="348">
        <v>0</v>
      </c>
      <c r="E20" s="348">
        <v>0</v>
      </c>
      <c r="F20" s="349"/>
      <c r="G20" s="409" t="s">
        <v>206</v>
      </c>
      <c r="H20" s="407">
        <v>0.1</v>
      </c>
      <c r="I20" s="407">
        <v>0.1</v>
      </c>
    </row>
    <row r="21" spans="2:9" ht="45" customHeight="1" thickBot="1" x14ac:dyDescent="0.3">
      <c r="B21" s="263" t="s">
        <v>295</v>
      </c>
      <c r="C21" s="138" t="s">
        <v>205</v>
      </c>
      <c r="D21" s="348">
        <v>0</v>
      </c>
      <c r="E21" s="348">
        <v>0</v>
      </c>
      <c r="F21" s="349"/>
      <c r="G21" s="409" t="s">
        <v>206</v>
      </c>
      <c r="H21" s="407">
        <v>0.1</v>
      </c>
      <c r="I21" s="407">
        <v>0.1</v>
      </c>
    </row>
    <row r="22" spans="2:9" ht="45" customHeight="1" thickBot="1" x14ac:dyDescent="0.3">
      <c r="B22" s="263" t="s">
        <v>296</v>
      </c>
      <c r="C22" s="138" t="s">
        <v>205</v>
      </c>
      <c r="D22" s="348">
        <v>0</v>
      </c>
      <c r="E22" s="348">
        <v>0</v>
      </c>
      <c r="F22" s="349"/>
      <c r="G22" s="409" t="s">
        <v>206</v>
      </c>
      <c r="H22" s="407">
        <v>0.1</v>
      </c>
      <c r="I22" s="407">
        <v>0.1</v>
      </c>
    </row>
    <row r="23" spans="2:9" ht="45" customHeight="1" thickBot="1" x14ac:dyDescent="0.3">
      <c r="B23" s="98" t="s">
        <v>297</v>
      </c>
      <c r="C23" s="139" t="s">
        <v>209</v>
      </c>
      <c r="D23" s="348">
        <v>0</v>
      </c>
      <c r="E23" s="348">
        <v>0</v>
      </c>
      <c r="F23" s="350"/>
      <c r="G23" s="410" t="s">
        <v>206</v>
      </c>
      <c r="H23" s="407">
        <v>0.05</v>
      </c>
      <c r="I23" s="407">
        <v>0.05</v>
      </c>
    </row>
    <row r="24" spans="2:9" ht="16.5" thickBot="1" x14ac:dyDescent="0.3">
      <c r="B24" s="92" t="s">
        <v>214</v>
      </c>
      <c r="C24" s="93"/>
      <c r="D24" s="127">
        <f>-1 * SUM(D17:D23)</f>
        <v>0</v>
      </c>
      <c r="E24" s="127">
        <f>SUM(E17:E23)</f>
        <v>0</v>
      </c>
      <c r="F24" s="93"/>
      <c r="G24" s="93"/>
    </row>
    <row r="25" spans="2:9" ht="15.75" x14ac:dyDescent="0.25">
      <c r="B25" s="92"/>
      <c r="C25" s="92"/>
      <c r="D25" s="93"/>
      <c r="E25" s="93"/>
      <c r="F25" s="93"/>
      <c r="G25" s="93"/>
    </row>
    <row r="26" spans="2:9" ht="16.5" thickBot="1" x14ac:dyDescent="0.3">
      <c r="B26" s="92"/>
      <c r="C26" s="99"/>
      <c r="D26" s="251" t="s">
        <v>287</v>
      </c>
      <c r="E26" s="428">
        <f>SUM(D24:E24)</f>
        <v>0</v>
      </c>
      <c r="F26" s="511" t="s">
        <v>443</v>
      </c>
      <c r="G26" s="512"/>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zDtm2SQXytPrcPRDcozvgDFQLRMijeGNdKsz0EMdZI4ZzGmvn+Dl8BL+/OOHZstFFh9rz1Cpdn2b/5OKbIJNGA==" saltValue="KVNkFe4JufSFjnzESOTSzg==" spinCount="100000" sheet="1" objects="1" scenarios="1" selectLockedCells="1"/>
  <mergeCells count="15">
    <mergeCell ref="B2:G2"/>
    <mergeCell ref="B4:G4"/>
    <mergeCell ref="D10:E10"/>
    <mergeCell ref="F10:G10"/>
    <mergeCell ref="C28:D28"/>
    <mergeCell ref="B15:B16"/>
    <mergeCell ref="D11:E11"/>
    <mergeCell ref="B13:G14"/>
    <mergeCell ref="C15:C16"/>
    <mergeCell ref="D15:D16"/>
    <mergeCell ref="E15:E16"/>
    <mergeCell ref="F15:F16"/>
    <mergeCell ref="G15:G16"/>
    <mergeCell ref="F8:G8"/>
    <mergeCell ref="F26:G26"/>
  </mergeCells>
  <conditionalFormatting sqref="D18">
    <cfRule type="cellIs" dxfId="1642" priority="42" operator="lessThan">
      <formula>0%</formula>
    </cfRule>
    <cfRule type="cellIs" dxfId="1641" priority="43" operator="greaterThan">
      <formula>H18</formula>
    </cfRule>
    <cfRule type="cellIs" dxfId="1640" priority="44" operator="between">
      <formula>0%</formula>
      <formula>H18</formula>
    </cfRule>
  </conditionalFormatting>
  <conditionalFormatting sqref="D17">
    <cfRule type="cellIs" dxfId="1639" priority="39" operator="lessThan">
      <formula>0%</formula>
    </cfRule>
    <cfRule type="cellIs" dxfId="1638" priority="40" operator="greaterThan">
      <formula>H17</formula>
    </cfRule>
    <cfRule type="cellIs" dxfId="1637" priority="41" operator="between">
      <formula>0%</formula>
      <formula>H17</formula>
    </cfRule>
  </conditionalFormatting>
  <conditionalFormatting sqref="E17">
    <cfRule type="cellIs" dxfId="1636" priority="36" operator="lessThan">
      <formula>0%</formula>
    </cfRule>
    <cfRule type="cellIs" dxfId="1635" priority="37" operator="greaterThan">
      <formula>I17</formula>
    </cfRule>
    <cfRule type="cellIs" dxfId="1634" priority="38" operator="between">
      <formula>0%</formula>
      <formula>I17</formula>
    </cfRule>
  </conditionalFormatting>
  <conditionalFormatting sqref="E18">
    <cfRule type="cellIs" dxfId="1633" priority="33" operator="lessThan">
      <formula>0%</formula>
    </cfRule>
    <cfRule type="cellIs" dxfId="1632" priority="34" operator="greaterThan">
      <formula>I18</formula>
    </cfRule>
    <cfRule type="cellIs" dxfId="1631" priority="35" operator="between">
      <formula>0%</formula>
      <formula>I18</formula>
    </cfRule>
  </conditionalFormatting>
  <conditionalFormatting sqref="E19">
    <cfRule type="cellIs" dxfId="1630" priority="30" operator="lessThan">
      <formula>0%</formula>
    </cfRule>
    <cfRule type="cellIs" dxfId="1629" priority="31" operator="greaterThan">
      <formula>I19</formula>
    </cfRule>
    <cfRule type="cellIs" dxfId="1628" priority="32" operator="between">
      <formula>0%</formula>
      <formula>I19</formula>
    </cfRule>
  </conditionalFormatting>
  <conditionalFormatting sqref="D19">
    <cfRule type="cellIs" dxfId="1627" priority="27" operator="lessThan">
      <formula>0%</formula>
    </cfRule>
    <cfRule type="cellIs" dxfId="1626" priority="28" operator="greaterThan">
      <formula>H19</formula>
    </cfRule>
    <cfRule type="cellIs" dxfId="1625" priority="29" operator="between">
      <formula>0%</formula>
      <formula>H19</formula>
    </cfRule>
  </conditionalFormatting>
  <conditionalFormatting sqref="D20">
    <cfRule type="cellIs" dxfId="1624" priority="24" operator="lessThan">
      <formula>0%</formula>
    </cfRule>
    <cfRule type="cellIs" dxfId="1623" priority="25" operator="greaterThan">
      <formula>H20</formula>
    </cfRule>
    <cfRule type="cellIs" dxfId="1622" priority="26" operator="between">
      <formula>0%</formula>
      <formula>H20</formula>
    </cfRule>
  </conditionalFormatting>
  <conditionalFormatting sqref="E20">
    <cfRule type="cellIs" dxfId="1621" priority="21" operator="lessThan">
      <formula>0%</formula>
    </cfRule>
    <cfRule type="cellIs" dxfId="1620" priority="22" operator="greaterThan">
      <formula>I20</formula>
    </cfRule>
    <cfRule type="cellIs" dxfId="1619" priority="23" operator="between">
      <formula>0%</formula>
      <formula>I20</formula>
    </cfRule>
  </conditionalFormatting>
  <conditionalFormatting sqref="E21">
    <cfRule type="cellIs" dxfId="1618" priority="18" operator="lessThan">
      <formula>0%</formula>
    </cfRule>
    <cfRule type="cellIs" dxfId="1617" priority="19" operator="greaterThan">
      <formula>I21</formula>
    </cfRule>
    <cfRule type="cellIs" dxfId="1616" priority="20" operator="between">
      <formula>0%</formula>
      <formula>I21</formula>
    </cfRule>
  </conditionalFormatting>
  <conditionalFormatting sqref="D21">
    <cfRule type="cellIs" dxfId="1615" priority="15" operator="lessThan">
      <formula>0%</formula>
    </cfRule>
    <cfRule type="cellIs" dxfId="1614" priority="16" operator="greaterThan">
      <formula>H21</formula>
    </cfRule>
    <cfRule type="cellIs" dxfId="1613" priority="17" operator="between">
      <formula>0%</formula>
      <formula>H21</formula>
    </cfRule>
  </conditionalFormatting>
  <conditionalFormatting sqref="D22">
    <cfRule type="cellIs" dxfId="1612" priority="12" operator="lessThan">
      <formula>0%</formula>
    </cfRule>
    <cfRule type="cellIs" dxfId="1611" priority="13" operator="greaterThan">
      <formula>H22</formula>
    </cfRule>
    <cfRule type="cellIs" dxfId="1610" priority="14" operator="between">
      <formula>0%</formula>
      <formula>H22</formula>
    </cfRule>
  </conditionalFormatting>
  <conditionalFormatting sqref="E22">
    <cfRule type="cellIs" dxfId="1609" priority="9" operator="lessThan">
      <formula>0%</formula>
    </cfRule>
    <cfRule type="cellIs" dxfId="1608" priority="10" operator="greaterThan">
      <formula>I22</formula>
    </cfRule>
    <cfRule type="cellIs" dxfId="1607" priority="11" operator="between">
      <formula>0%</formula>
      <formula>I22</formula>
    </cfRule>
  </conditionalFormatting>
  <conditionalFormatting sqref="E23">
    <cfRule type="cellIs" dxfId="1606" priority="6" operator="lessThan">
      <formula>0%</formula>
    </cfRule>
    <cfRule type="cellIs" dxfId="1605" priority="7" operator="greaterThan">
      <formula>I23</formula>
    </cfRule>
    <cfRule type="cellIs" dxfId="1604" priority="8" operator="between">
      <formula>0%</formula>
      <formula>I23</formula>
    </cfRule>
  </conditionalFormatting>
  <conditionalFormatting sqref="D23">
    <cfRule type="cellIs" dxfId="1603" priority="3" operator="lessThan">
      <formula>0%</formula>
    </cfRule>
    <cfRule type="cellIs" dxfId="1602" priority="4" operator="greaterThan">
      <formula>H23</formula>
    </cfRule>
    <cfRule type="cellIs" dxfId="1601" priority="5" operator="between">
      <formula>0%</formula>
      <formula>H23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41C5CB82-5910-4875-9D3A-0B81812F49FE}">
            <xm:f>-1*('STATE CODES (NUM) &amp; MIN-MAX'!$D$6)</xm:f>
            <x14:dxf>
              <font>
                <color rgb="FF9C0006"/>
              </font>
              <fill>
                <patternFill>
                  <bgColor rgb="FFFFC7CE"/>
                </patternFill>
              </fill>
            </x14:dxf>
          </x14:cfRule>
          <x14:cfRule type="cellIs" priority="2" operator="greaterThan" id="{148C965D-F8A0-4B84-BA8F-340A743390DF}">
            <xm:f>'STATE CODES (NUM) &amp; MIN-MAX'!$E$6</xm:f>
            <x14:dxf>
              <font>
                <color rgb="FF9C0006"/>
              </font>
              <fill>
                <patternFill>
                  <bgColor rgb="FFFFC7CE"/>
                </patternFill>
              </fill>
            </x14:dxf>
          </x14:cfRule>
          <xm:sqref>E26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I31"/>
  <sheetViews>
    <sheetView showGridLines="0" showRowColHeaders="0" zoomScale="90" zoomScaleNormal="90" workbookViewId="0">
      <selection activeCell="C7" sqref="C7:F7"/>
    </sheetView>
  </sheetViews>
  <sheetFormatPr defaultRowHeight="15" x14ac:dyDescent="0.25"/>
  <cols>
    <col min="1" max="1" width="6.42578125" customWidth="1"/>
    <col min="2" max="2" width="35.42578125" customWidth="1"/>
    <col min="3" max="3" width="19.140625" customWidth="1"/>
    <col min="4" max="4" width="19" customWidth="1"/>
    <col min="5" max="5" width="18.42578125" customWidth="1"/>
    <col min="6" max="6" width="31.42578125" customWidth="1"/>
    <col min="7" max="7" width="6.42578125" hidden="1" customWidth="1"/>
  </cols>
  <sheetData>
    <row r="1" spans="1:7" x14ac:dyDescent="0.25">
      <c r="A1" s="22"/>
      <c r="B1" s="22"/>
      <c r="C1" s="22"/>
      <c r="D1" s="22"/>
      <c r="E1" s="22"/>
      <c r="F1" s="22"/>
      <c r="G1" s="22"/>
    </row>
    <row r="2" spans="1:7" ht="18" x14ac:dyDescent="0.25">
      <c r="A2" s="22"/>
      <c r="B2" s="502" t="s">
        <v>271</v>
      </c>
      <c r="C2" s="503"/>
      <c r="D2" s="503"/>
      <c r="E2" s="503"/>
      <c r="F2" s="642"/>
      <c r="G2" s="22"/>
    </row>
    <row r="3" spans="1:7" ht="15.75" x14ac:dyDescent="0.25">
      <c r="A3" s="22"/>
      <c r="B3" s="92"/>
      <c r="C3" s="93"/>
      <c r="D3" s="93"/>
      <c r="E3" s="93"/>
      <c r="F3" s="93"/>
      <c r="G3" s="22"/>
    </row>
    <row r="4" spans="1:7" ht="20.25" x14ac:dyDescent="0.3">
      <c r="A4" s="22"/>
      <c r="B4" s="637" t="s">
        <v>101</v>
      </c>
      <c r="C4" s="637"/>
      <c r="D4" s="637"/>
      <c r="E4" s="637"/>
      <c r="F4" s="637"/>
      <c r="G4" s="22"/>
    </row>
    <row r="5" spans="1:7" ht="15.75" x14ac:dyDescent="0.25">
      <c r="A5" s="22"/>
      <c r="B5" s="92"/>
      <c r="C5" s="93"/>
      <c r="D5" s="93"/>
      <c r="E5" s="93"/>
      <c r="F5" s="93"/>
      <c r="G5" s="22"/>
    </row>
    <row r="6" spans="1:7" ht="15.75" x14ac:dyDescent="0.25">
      <c r="A6" s="22"/>
      <c r="B6" s="264" t="s">
        <v>193</v>
      </c>
      <c r="C6" s="645" t="str">
        <f>IF('Worksheet Prep'!D3&lt;&gt;"",'Worksheet Prep'!D3,"")</f>
        <v/>
      </c>
      <c r="D6" s="645"/>
      <c r="E6" s="645"/>
      <c r="F6" s="645"/>
      <c r="G6" s="22"/>
    </row>
    <row r="7" spans="1:7" ht="15.75" x14ac:dyDescent="0.25">
      <c r="A7" s="22"/>
      <c r="B7" s="265" t="s">
        <v>272</v>
      </c>
      <c r="C7" s="646"/>
      <c r="D7" s="647"/>
      <c r="E7" s="647"/>
      <c r="F7" s="648"/>
      <c r="G7" s="22"/>
    </row>
    <row r="8" spans="1:7" ht="15.75" x14ac:dyDescent="0.25">
      <c r="A8" s="22"/>
      <c r="B8" s="264" t="s">
        <v>194</v>
      </c>
      <c r="C8" s="645" t="str">
        <f>IF('Worksheet Prep'!G5&lt;&gt;"",'Worksheet Prep'!G5,"")</f>
        <v/>
      </c>
      <c r="D8" s="645"/>
      <c r="E8" s="645"/>
      <c r="F8" s="645"/>
      <c r="G8" s="22"/>
    </row>
    <row r="9" spans="1:7" ht="15.75" x14ac:dyDescent="0.25">
      <c r="A9" s="22"/>
      <c r="B9" s="265" t="s">
        <v>195</v>
      </c>
      <c r="C9" s="649" t="str">
        <f>IF('Worksheet Prep'!C5&lt;&gt;"",'Worksheet Prep'!C5,"")</f>
        <v/>
      </c>
      <c r="D9" s="645"/>
      <c r="E9" s="645"/>
      <c r="F9" s="645"/>
      <c r="G9" s="22"/>
    </row>
    <row r="10" spans="1:7" ht="31.5" x14ac:dyDescent="0.25">
      <c r="A10" s="22"/>
      <c r="B10" s="266" t="s">
        <v>273</v>
      </c>
      <c r="C10" s="650"/>
      <c r="D10" s="651"/>
      <c r="E10" s="651"/>
      <c r="F10" s="652"/>
      <c r="G10" s="22"/>
    </row>
    <row r="11" spans="1:7" ht="15.75" x14ac:dyDescent="0.25">
      <c r="A11" s="22"/>
      <c r="B11" s="267" t="s">
        <v>274</v>
      </c>
      <c r="C11" s="653" t="str">
        <f>'Additional Info'!F2</f>
        <v>Praetorian Insurance - 3501</v>
      </c>
      <c r="D11" s="654"/>
      <c r="E11" s="654"/>
      <c r="F11" s="655"/>
      <c r="G11" s="22"/>
    </row>
    <row r="12" spans="1:7" ht="15.75" x14ac:dyDescent="0.25">
      <c r="A12" s="22"/>
      <c r="B12" s="267" t="s">
        <v>275</v>
      </c>
      <c r="C12" s="653">
        <f>VLOOKUP(C11,'STATE CODES (NUM) &amp; MIN-MAX'!B56:D58,3,FALSE)</f>
        <v>21172</v>
      </c>
      <c r="D12" s="654"/>
      <c r="E12" s="654"/>
      <c r="F12" s="655"/>
      <c r="G12" s="22"/>
    </row>
    <row r="13" spans="1:7" ht="29.25" customHeight="1" x14ac:dyDescent="0.25">
      <c r="A13" s="22"/>
      <c r="B13" s="639" t="s">
        <v>398</v>
      </c>
      <c r="C13" s="639"/>
      <c r="D13" s="639"/>
      <c r="E13" s="639"/>
      <c r="F13" s="639"/>
      <c r="G13" s="22"/>
    </row>
    <row r="14" spans="1:7" ht="29.25" customHeight="1" thickBot="1" x14ac:dyDescent="0.3">
      <c r="A14" s="22"/>
      <c r="B14" s="640"/>
      <c r="C14" s="640"/>
      <c r="D14" s="640"/>
      <c r="E14" s="640"/>
      <c r="F14" s="640"/>
      <c r="G14" s="22"/>
    </row>
    <row r="15" spans="1:7" x14ac:dyDescent="0.25">
      <c r="A15" s="22"/>
      <c r="B15" s="643" t="s">
        <v>198</v>
      </c>
      <c r="C15" s="643" t="s">
        <v>276</v>
      </c>
      <c r="D15" s="643" t="s">
        <v>277</v>
      </c>
      <c r="E15" s="643" t="s">
        <v>278</v>
      </c>
      <c r="F15" s="643" t="s">
        <v>202</v>
      </c>
      <c r="G15" s="22"/>
    </row>
    <row r="16" spans="1:7" ht="15.75" thickBot="1" x14ac:dyDescent="0.3">
      <c r="A16" s="22"/>
      <c r="B16" s="644"/>
      <c r="C16" s="644"/>
      <c r="D16" s="644"/>
      <c r="E16" s="644"/>
      <c r="F16" s="644"/>
      <c r="G16" s="22"/>
    </row>
    <row r="17" spans="1:9" ht="45" customHeight="1" thickBot="1" x14ac:dyDescent="0.3">
      <c r="A17" s="22"/>
      <c r="B17" s="268" t="s">
        <v>279</v>
      </c>
      <c r="C17" s="453"/>
      <c r="D17" s="363"/>
      <c r="E17" s="363"/>
      <c r="F17" s="360"/>
      <c r="G17" s="407">
        <v>0.1</v>
      </c>
    </row>
    <row r="18" spans="1:9" ht="45" customHeight="1" thickBot="1" x14ac:dyDescent="0.3">
      <c r="A18" s="22"/>
      <c r="B18" s="268" t="s">
        <v>280</v>
      </c>
      <c r="C18" s="445"/>
      <c r="D18" s="365"/>
      <c r="E18" s="365"/>
      <c r="F18" s="361"/>
      <c r="G18" s="407">
        <v>0.25</v>
      </c>
    </row>
    <row r="19" spans="1:9" ht="45" customHeight="1" thickBot="1" x14ac:dyDescent="0.3">
      <c r="A19" s="22"/>
      <c r="B19" s="268" t="s">
        <v>281</v>
      </c>
      <c r="C19" s="445"/>
      <c r="D19" s="365"/>
      <c r="E19" s="365"/>
      <c r="F19" s="361"/>
      <c r="G19" s="407">
        <v>0.1</v>
      </c>
    </row>
    <row r="20" spans="1:9" ht="45" customHeight="1" thickBot="1" x14ac:dyDescent="0.3">
      <c r="A20" s="22"/>
      <c r="B20" s="268" t="s">
        <v>282</v>
      </c>
      <c r="C20" s="445"/>
      <c r="D20" s="365"/>
      <c r="E20" s="365"/>
      <c r="F20" s="361"/>
      <c r="G20" s="407">
        <v>0.1</v>
      </c>
    </row>
    <row r="21" spans="1:9" ht="45" customHeight="1" thickBot="1" x14ac:dyDescent="0.3">
      <c r="A21" s="22"/>
      <c r="B21" s="268" t="s">
        <v>283</v>
      </c>
      <c r="C21" s="445"/>
      <c r="D21" s="365"/>
      <c r="E21" s="365"/>
      <c r="F21" s="361"/>
      <c r="G21" s="407">
        <v>0.15</v>
      </c>
    </row>
    <row r="22" spans="1:9" ht="45" customHeight="1" thickBot="1" x14ac:dyDescent="0.3">
      <c r="A22" s="22"/>
      <c r="B22" s="268" t="s">
        <v>284</v>
      </c>
      <c r="C22" s="445"/>
      <c r="D22" s="365"/>
      <c r="E22" s="365"/>
      <c r="F22" s="361"/>
      <c r="G22" s="407">
        <v>0.15</v>
      </c>
    </row>
    <row r="23" spans="1:9" ht="45" customHeight="1" x14ac:dyDescent="0.25">
      <c r="A23" s="22"/>
      <c r="B23" s="268" t="s">
        <v>285</v>
      </c>
      <c r="C23" s="445"/>
      <c r="D23" s="365"/>
      <c r="E23" s="365"/>
      <c r="F23" s="361"/>
      <c r="G23" s="407">
        <v>0.05</v>
      </c>
    </row>
    <row r="24" spans="1:9" ht="45" customHeight="1" thickBot="1" x14ac:dyDescent="0.3">
      <c r="A24" s="22"/>
      <c r="B24" s="269" t="s">
        <v>286</v>
      </c>
      <c r="C24" s="446"/>
      <c r="D24" s="368"/>
      <c r="E24" s="368"/>
      <c r="F24" s="362"/>
      <c r="G24" s="407">
        <v>0.1</v>
      </c>
    </row>
    <row r="25" spans="1:9" ht="15.75" x14ac:dyDescent="0.25">
      <c r="A25" s="22"/>
      <c r="B25" s="92"/>
      <c r="C25" s="270"/>
      <c r="D25" s="271"/>
      <c r="E25" s="271"/>
      <c r="F25" s="93"/>
      <c r="G25" s="22"/>
    </row>
    <row r="26" spans="1:9" ht="15.75" x14ac:dyDescent="0.25">
      <c r="A26" s="22"/>
      <c r="B26" s="92"/>
      <c r="C26" s="93"/>
      <c r="D26" s="271"/>
      <c r="E26" s="271"/>
      <c r="F26" s="93"/>
      <c r="G26" s="22"/>
    </row>
    <row r="27" spans="1:9" ht="16.5" thickBot="1" x14ac:dyDescent="0.3">
      <c r="A27" s="22"/>
      <c r="B27" s="118"/>
      <c r="C27" s="638" t="s">
        <v>287</v>
      </c>
      <c r="D27" s="638"/>
      <c r="E27" s="428">
        <f>SUM(C17:E24)</f>
        <v>0</v>
      </c>
      <c r="F27" s="511" t="s">
        <v>443</v>
      </c>
      <c r="G27" s="512"/>
      <c r="H27" s="641"/>
      <c r="I27" s="641"/>
    </row>
    <row r="28" spans="1:9" ht="15.75" x14ac:dyDescent="0.25">
      <c r="A28" s="22"/>
      <c r="B28" s="92"/>
      <c r="C28" s="92"/>
      <c r="D28" s="100"/>
      <c r="E28" s="93"/>
      <c r="F28" s="93"/>
      <c r="G28" s="93"/>
      <c r="H28" s="93"/>
      <c r="I28" s="22"/>
    </row>
    <row r="29" spans="1:9" ht="16.5" thickBot="1" x14ac:dyDescent="0.3">
      <c r="A29" s="22"/>
      <c r="B29" s="99" t="s">
        <v>217</v>
      </c>
      <c r="C29" s="496" t="str">
        <f>'Worksheet Prep'!D4</f>
        <v/>
      </c>
      <c r="D29" s="496"/>
      <c r="E29" s="251" t="s">
        <v>218</v>
      </c>
      <c r="F29" s="117" t="str">
        <f>IF('Worksheet Prep'!J6&lt;&gt;"",'Worksheet Prep'!J6,"")</f>
        <v/>
      </c>
      <c r="G29" s="22"/>
      <c r="H29" s="93"/>
      <c r="I29" s="22"/>
    </row>
    <row r="30" spans="1:9" ht="15.75" x14ac:dyDescent="0.25">
      <c r="A30" s="22"/>
      <c r="B30" s="92"/>
      <c r="C30" s="22"/>
      <c r="D30" s="22"/>
      <c r="E30" s="22"/>
      <c r="F30" s="22"/>
      <c r="G30" s="22"/>
    </row>
    <row r="31" spans="1:9" x14ac:dyDescent="0.25">
      <c r="A31" s="22"/>
      <c r="B31" s="22"/>
      <c r="C31" s="22"/>
      <c r="D31" s="22"/>
      <c r="E31" s="22"/>
      <c r="F31" s="22"/>
      <c r="G31" s="22"/>
    </row>
  </sheetData>
  <sheetProtection algorithmName="SHA-512" hashValue="+xD2Wtgw3l9GBay29ovnj33oVdiOVjAHpFCOHFGHCB9dW4IhI7VOq6yld6GmQluiIMgMjEIvOP3ISOAbDrb8Pw==" saltValue="TYbjkcnINlNI1A6sMNsVMw==" spinCount="100000" sheet="1" objects="1" scenarios="1" selectLockedCells="1"/>
  <mergeCells count="18">
    <mergeCell ref="C11:F11"/>
    <mergeCell ref="C12:F12"/>
    <mergeCell ref="C29:D29"/>
    <mergeCell ref="C27:D27"/>
    <mergeCell ref="B13:F14"/>
    <mergeCell ref="F27:I27"/>
    <mergeCell ref="B2:F2"/>
    <mergeCell ref="B15:B16"/>
    <mergeCell ref="C15:C16"/>
    <mergeCell ref="D15:D16"/>
    <mergeCell ref="F15:F16"/>
    <mergeCell ref="C6:F6"/>
    <mergeCell ref="C7:F7"/>
    <mergeCell ref="E15:E16"/>
    <mergeCell ref="B4:F4"/>
    <mergeCell ref="C8:F8"/>
    <mergeCell ref="C9:F9"/>
    <mergeCell ref="C10:F10"/>
  </mergeCells>
  <conditionalFormatting sqref="C17 D17 E17">
    <cfRule type="cellIs" dxfId="1598" priority="25" operator="notBetween">
      <formula>$G17</formula>
      <formula>-1 * $G17</formula>
    </cfRule>
  </conditionalFormatting>
  <conditionalFormatting sqref="D18:E18">
    <cfRule type="cellIs" dxfId="1597" priority="15" operator="notBetween">
      <formula>H18</formula>
      <formula>-1 * H18</formula>
    </cfRule>
  </conditionalFormatting>
  <conditionalFormatting sqref="D19:E19">
    <cfRule type="cellIs" dxfId="1596" priority="14" operator="notBetween">
      <formula>H19</formula>
      <formula>-1 * H19</formula>
    </cfRule>
  </conditionalFormatting>
  <conditionalFormatting sqref="D20:E20">
    <cfRule type="cellIs" dxfId="1595" priority="13" operator="notBetween">
      <formula>H20</formula>
      <formula>-1 * H20</formula>
    </cfRule>
  </conditionalFormatting>
  <conditionalFormatting sqref="D21:E21">
    <cfRule type="cellIs" dxfId="1594" priority="12" operator="notBetween">
      <formula>H21</formula>
      <formula>-1 * H21</formula>
    </cfRule>
  </conditionalFormatting>
  <conditionalFormatting sqref="D22:E22">
    <cfRule type="cellIs" dxfId="1593" priority="11" operator="notBetween">
      <formula>H22</formula>
      <formula>-1 * H22</formula>
    </cfRule>
  </conditionalFormatting>
  <conditionalFormatting sqref="D23:E23">
    <cfRule type="cellIs" dxfId="1592" priority="10" operator="notBetween">
      <formula>H23</formula>
      <formula>-1 * H23</formula>
    </cfRule>
  </conditionalFormatting>
  <conditionalFormatting sqref="D24:E24">
    <cfRule type="cellIs" dxfId="1591" priority="9" operator="notBetween">
      <formula>H24</formula>
      <formula>-1 * H24</formula>
    </cfRule>
  </conditionalFormatting>
  <conditionalFormatting sqref="C18 D18 E18">
    <cfRule type="cellIs" dxfId="1590" priority="8" operator="notBetween">
      <formula>$G18</formula>
      <formula>-1 * $G18</formula>
    </cfRule>
  </conditionalFormatting>
  <conditionalFormatting sqref="C19 D19 E19">
    <cfRule type="cellIs" dxfId="1589" priority="6" operator="notBetween">
      <formula>$G19</formula>
      <formula>-1 * $G19</formula>
    </cfRule>
  </conditionalFormatting>
  <conditionalFormatting sqref="C20 D20 E20">
    <cfRule type="cellIs" dxfId="1588" priority="5" operator="notBetween">
      <formula>$G20</formula>
      <formula>-1 * $G20</formula>
    </cfRule>
  </conditionalFormatting>
  <conditionalFormatting sqref="C21 D21 E21">
    <cfRule type="cellIs" dxfId="1587" priority="4" operator="notBetween">
      <formula>$G21</formula>
      <formula>-1 * $G21</formula>
    </cfRule>
  </conditionalFormatting>
  <conditionalFormatting sqref="C22 D22 E22">
    <cfRule type="cellIs" dxfId="1586" priority="3" operator="notBetween">
      <formula>$G22</formula>
      <formula>-1 * $G22</formula>
    </cfRule>
  </conditionalFormatting>
  <conditionalFormatting sqref="C23 D23 E23">
    <cfRule type="cellIs" dxfId="1585" priority="2" operator="notBetween">
      <formula>$G23</formula>
      <formula>-1 * $G23</formula>
    </cfRule>
  </conditionalFormatting>
  <conditionalFormatting sqref="C24 D24 E24">
    <cfRule type="cellIs" dxfId="1584" priority="1" operator="notBetween">
      <formula>$G24</formula>
      <formula>-1 * $G24</formula>
    </cfRule>
  </conditionalFormatting>
  <pageMargins left="0.7" right="0.7" top="0.75" bottom="0.75" header="0.3" footer="0.3"/>
  <pageSetup scale="75" fitToHeight="0" orientation="portrait" r:id="rId1"/>
  <extLst>
    <ext xmlns:x14="http://schemas.microsoft.com/office/spreadsheetml/2009/9/main" uri="{78C0D931-6437-407d-A8EE-F0AAD7539E65}">
      <x14:conditionalFormattings>
        <x14:conditionalFormatting xmlns:xm="http://schemas.microsoft.com/office/excel/2006/main">
          <x14:cfRule type="cellIs" priority="26" operator="lessThan" id="{36B0507A-4414-4E57-9693-F6FF5CCF5D7D}">
            <xm:f>-1*('STATE CODES (NUM) &amp; MIN-MAX'!$D$7)</xm:f>
            <x14:dxf>
              <font>
                <color rgb="FF9C0006"/>
              </font>
              <fill>
                <patternFill>
                  <bgColor rgb="FFFFC7CE"/>
                </patternFill>
              </fill>
            </x14:dxf>
          </x14:cfRule>
          <x14:cfRule type="cellIs" priority="27" operator="greaterThan" id="{93957850-5AE3-4EFD-8CE0-43D7EB83E54A}">
            <xm:f>'STATE CODES (NUM) &amp; MIN-MAX'!$E$7</xm:f>
            <x14:dxf>
              <font>
                <color rgb="FF9C0006"/>
              </font>
              <fill>
                <patternFill>
                  <bgColor rgb="FFFFC7CE"/>
                </patternFill>
              </fill>
            </x14:dxf>
          </x14:cfRule>
          <xm:sqref>E27</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102</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656" t="s">
        <v>323</v>
      </c>
      <c r="E10" s="656"/>
      <c r="F10" s="132" t="str">
        <f>B4</f>
        <v>COLORADO</v>
      </c>
      <c r="G10" s="101"/>
    </row>
    <row r="11" spans="1:8" ht="24" customHeight="1" x14ac:dyDescent="0.25">
      <c r="B11" s="252" t="s">
        <v>197</v>
      </c>
      <c r="C11" s="96">
        <f>VLOOKUP(C10,'STATE CODES (NUM) &amp; MIN-MAX'!B56:D58,3,FALSE)</f>
        <v>21172</v>
      </c>
      <c r="D11" s="656"/>
      <c r="E11" s="656"/>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135" t="s">
        <v>205</v>
      </c>
      <c r="D17" s="348">
        <v>0</v>
      </c>
      <c r="E17" s="348">
        <v>0</v>
      </c>
      <c r="F17" s="347"/>
      <c r="G17" s="408" t="s">
        <v>206</v>
      </c>
      <c r="H17" s="407">
        <v>0.1</v>
      </c>
      <c r="I17" s="407">
        <v>0.1</v>
      </c>
    </row>
    <row r="18" spans="2:9" ht="45" customHeight="1" thickBot="1" x14ac:dyDescent="0.3">
      <c r="B18" s="273" t="s">
        <v>207</v>
      </c>
      <c r="C18" s="136" t="s">
        <v>205</v>
      </c>
      <c r="D18" s="348">
        <v>0</v>
      </c>
      <c r="E18" s="348">
        <v>0</v>
      </c>
      <c r="F18" s="349"/>
      <c r="G18" s="409" t="s">
        <v>206</v>
      </c>
      <c r="H18" s="407">
        <v>0.1</v>
      </c>
      <c r="I18" s="407">
        <v>0.1</v>
      </c>
    </row>
    <row r="19" spans="2:9" ht="45" customHeight="1" thickBot="1" x14ac:dyDescent="0.3">
      <c r="B19" s="273" t="s">
        <v>208</v>
      </c>
      <c r="C19" s="137" t="s">
        <v>209</v>
      </c>
      <c r="D19" s="348">
        <v>0</v>
      </c>
      <c r="E19" s="348">
        <v>0</v>
      </c>
      <c r="F19" s="349"/>
      <c r="G19" s="409" t="s">
        <v>206</v>
      </c>
      <c r="H19" s="407">
        <v>0.05</v>
      </c>
      <c r="I19" s="407">
        <v>0.05</v>
      </c>
    </row>
    <row r="20" spans="2:9" ht="45" customHeight="1" thickBot="1" x14ac:dyDescent="0.3">
      <c r="B20" s="273" t="s">
        <v>288</v>
      </c>
      <c r="C20" s="138" t="s">
        <v>205</v>
      </c>
      <c r="D20" s="348">
        <v>0</v>
      </c>
      <c r="E20" s="348">
        <v>0</v>
      </c>
      <c r="F20" s="349"/>
      <c r="G20" s="409" t="s">
        <v>206</v>
      </c>
      <c r="H20" s="407">
        <v>0.1</v>
      </c>
      <c r="I20" s="407">
        <v>0.1</v>
      </c>
    </row>
    <row r="21" spans="2:9" ht="45" customHeight="1" thickBot="1" x14ac:dyDescent="0.3">
      <c r="B21" s="273" t="s">
        <v>210</v>
      </c>
      <c r="C21" s="138" t="s">
        <v>209</v>
      </c>
      <c r="D21" s="348">
        <v>0</v>
      </c>
      <c r="E21" s="348">
        <v>0</v>
      </c>
      <c r="F21" s="349"/>
      <c r="G21" s="409" t="s">
        <v>206</v>
      </c>
      <c r="H21" s="407">
        <v>0.05</v>
      </c>
      <c r="I21" s="407">
        <v>0.05</v>
      </c>
    </row>
    <row r="22" spans="2:9" ht="45" customHeight="1" thickBot="1" x14ac:dyDescent="0.3">
      <c r="B22" s="273" t="s">
        <v>289</v>
      </c>
      <c r="C22" s="137" t="s">
        <v>209</v>
      </c>
      <c r="D22" s="348">
        <v>0</v>
      </c>
      <c r="E22" s="348">
        <v>0</v>
      </c>
      <c r="F22" s="349"/>
      <c r="G22" s="409" t="s">
        <v>206</v>
      </c>
      <c r="H22" s="407">
        <v>0.05</v>
      </c>
      <c r="I22" s="407">
        <v>0.05</v>
      </c>
    </row>
    <row r="23" spans="2:9" ht="45" customHeight="1" thickBot="1" x14ac:dyDescent="0.3">
      <c r="B23" s="274" t="s">
        <v>213</v>
      </c>
      <c r="C23" s="139" t="s">
        <v>209</v>
      </c>
      <c r="D23" s="348">
        <v>0</v>
      </c>
      <c r="E23" s="348">
        <v>0</v>
      </c>
      <c r="F23" s="350"/>
      <c r="G23" s="410" t="s">
        <v>206</v>
      </c>
      <c r="H23" s="407">
        <v>0.05</v>
      </c>
      <c r="I23" s="407">
        <v>0.05</v>
      </c>
    </row>
    <row r="24" spans="2:9" ht="16.5" thickBot="1" x14ac:dyDescent="0.3">
      <c r="B24" s="92" t="s">
        <v>214</v>
      </c>
      <c r="C24" s="93"/>
      <c r="D24" s="127">
        <f>-1 * SUM(D17:D23)</f>
        <v>0</v>
      </c>
      <c r="E24" s="127">
        <f>SUM(E17:E23)</f>
        <v>0</v>
      </c>
      <c r="F24" s="93"/>
      <c r="G24" s="93"/>
    </row>
    <row r="25" spans="2:9" ht="15.75" x14ac:dyDescent="0.25">
      <c r="B25" s="92"/>
      <c r="C25" s="92"/>
      <c r="D25" s="93"/>
      <c r="E25" s="93"/>
      <c r="F25" s="93"/>
      <c r="G25" s="93"/>
    </row>
    <row r="26" spans="2:9" ht="16.5" thickBot="1" x14ac:dyDescent="0.3">
      <c r="B26" s="92"/>
      <c r="C26" s="251"/>
      <c r="D26" s="251" t="s">
        <v>287</v>
      </c>
      <c r="E26" s="428">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ulBR5u1URqV+Ud1YGYdcp7fwsIy/Y5dMWG0DZqLz1rmVqMtU3josNbVAbSrg5h4whMWBo8vnqh7kJuWOOhmZhA==" saltValue="ypCj8duT/B9bz5pSYSUyOw==" spinCount="100000" sheet="1" objects="1" scenarios="1" selectLockedCells="1"/>
  <mergeCells count="15">
    <mergeCell ref="C28:D28"/>
    <mergeCell ref="B15:B16"/>
    <mergeCell ref="D11:E11"/>
    <mergeCell ref="B13:G14"/>
    <mergeCell ref="C15:C16"/>
    <mergeCell ref="D15:D16"/>
    <mergeCell ref="E15:E16"/>
    <mergeCell ref="F15:F16"/>
    <mergeCell ref="G15:G16"/>
    <mergeCell ref="F26:G26"/>
    <mergeCell ref="B2:G2"/>
    <mergeCell ref="B4:G4"/>
    <mergeCell ref="D10:E10"/>
    <mergeCell ref="F6:G6"/>
    <mergeCell ref="F8:G8"/>
  </mergeCells>
  <conditionalFormatting sqref="D17">
    <cfRule type="cellIs" dxfId="1581" priority="45" operator="lessThan">
      <formula>0%</formula>
    </cfRule>
    <cfRule type="cellIs" dxfId="1580" priority="46" operator="greaterThan">
      <formula>H17</formula>
    </cfRule>
    <cfRule type="cellIs" dxfId="1579" priority="47" operator="between">
      <formula>0%</formula>
      <formula>H17</formula>
    </cfRule>
  </conditionalFormatting>
  <conditionalFormatting sqref="E17">
    <cfRule type="cellIs" dxfId="1578" priority="42" operator="lessThan">
      <formula>0%</formula>
    </cfRule>
    <cfRule type="cellIs" dxfId="1577" priority="43" operator="greaterThan">
      <formula>I17</formula>
    </cfRule>
    <cfRule type="cellIs" dxfId="1576" priority="44" operator="between">
      <formula>0%</formula>
      <formula>I17</formula>
    </cfRule>
  </conditionalFormatting>
  <conditionalFormatting sqref="D18">
    <cfRule type="cellIs" dxfId="1575" priority="39" operator="lessThan">
      <formula>0%</formula>
    </cfRule>
    <cfRule type="cellIs" dxfId="1574" priority="40" operator="greaterThan">
      <formula>H18</formula>
    </cfRule>
    <cfRule type="cellIs" dxfId="1573" priority="41" operator="between">
      <formula>0%</formula>
      <formula>H18</formula>
    </cfRule>
  </conditionalFormatting>
  <conditionalFormatting sqref="E18">
    <cfRule type="cellIs" dxfId="1572" priority="36" operator="lessThan">
      <formula>0%</formula>
    </cfRule>
    <cfRule type="cellIs" dxfId="1571" priority="37" operator="greaterThan">
      <formula>I18</formula>
    </cfRule>
    <cfRule type="cellIs" dxfId="1570" priority="38" operator="between">
      <formula>0%</formula>
      <formula>I18</formula>
    </cfRule>
  </conditionalFormatting>
  <conditionalFormatting sqref="E19">
    <cfRule type="cellIs" dxfId="1569" priority="33" operator="lessThan">
      <formula>0%</formula>
    </cfRule>
    <cfRule type="cellIs" dxfId="1568" priority="34" operator="greaterThan">
      <formula>I19</formula>
    </cfRule>
    <cfRule type="cellIs" dxfId="1567" priority="35" operator="between">
      <formula>0%</formula>
      <formula>I19</formula>
    </cfRule>
  </conditionalFormatting>
  <conditionalFormatting sqref="D19">
    <cfRule type="cellIs" dxfId="1566" priority="30" operator="lessThan">
      <formula>0%</formula>
    </cfRule>
    <cfRule type="cellIs" dxfId="1565" priority="31" operator="greaterThan">
      <formula>H19</formula>
    </cfRule>
    <cfRule type="cellIs" dxfId="1564" priority="32" operator="between">
      <formula>0%</formula>
      <formula>H19</formula>
    </cfRule>
  </conditionalFormatting>
  <conditionalFormatting sqref="D20">
    <cfRule type="cellIs" dxfId="1563" priority="27" operator="lessThan">
      <formula>0%</formula>
    </cfRule>
    <cfRule type="cellIs" dxfId="1562" priority="28" operator="greaterThan">
      <formula>H20</formula>
    </cfRule>
    <cfRule type="cellIs" dxfId="1561" priority="29" operator="between">
      <formula>0%</formula>
      <formula>H20</formula>
    </cfRule>
  </conditionalFormatting>
  <conditionalFormatting sqref="E20">
    <cfRule type="cellIs" dxfId="1560" priority="24" operator="lessThan">
      <formula>0%</formula>
    </cfRule>
    <cfRule type="cellIs" dxfId="1559" priority="25" operator="greaterThan">
      <formula>I20</formula>
    </cfRule>
    <cfRule type="cellIs" dxfId="1558" priority="26" operator="between">
      <formula>0%</formula>
      <formula>I20</formula>
    </cfRule>
  </conditionalFormatting>
  <conditionalFormatting sqref="E21">
    <cfRule type="cellIs" dxfId="1557" priority="21" operator="lessThan">
      <formula>0%</formula>
    </cfRule>
    <cfRule type="cellIs" dxfId="1556" priority="22" operator="greaterThan">
      <formula>I21</formula>
    </cfRule>
    <cfRule type="cellIs" dxfId="1555" priority="23" operator="between">
      <formula>0%</formula>
      <formula>I21</formula>
    </cfRule>
  </conditionalFormatting>
  <conditionalFormatting sqref="D21">
    <cfRule type="cellIs" dxfId="1554" priority="18" operator="lessThan">
      <formula>0%</formula>
    </cfRule>
    <cfRule type="cellIs" dxfId="1553" priority="19" operator="greaterThan">
      <formula>H21</formula>
    </cfRule>
    <cfRule type="cellIs" dxfId="1552" priority="20" operator="between">
      <formula>0%</formula>
      <formula>H21</formula>
    </cfRule>
  </conditionalFormatting>
  <conditionalFormatting sqref="E22">
    <cfRule type="cellIs" dxfId="1551" priority="12" operator="lessThan">
      <formula>0%</formula>
    </cfRule>
    <cfRule type="cellIs" dxfId="1550" priority="13" operator="greaterThan">
      <formula>I22</formula>
    </cfRule>
    <cfRule type="cellIs" dxfId="1549" priority="14" operator="between">
      <formula>0%</formula>
      <formula>I22</formula>
    </cfRule>
  </conditionalFormatting>
  <conditionalFormatting sqref="E23">
    <cfRule type="cellIs" dxfId="1548" priority="9" operator="lessThan">
      <formula>0%</formula>
    </cfRule>
    <cfRule type="cellIs" dxfId="1547" priority="10" operator="greaterThan">
      <formula>I23</formula>
    </cfRule>
    <cfRule type="cellIs" dxfId="1546" priority="11" operator="between">
      <formula>0%</formula>
      <formula>I23</formula>
    </cfRule>
  </conditionalFormatting>
  <conditionalFormatting sqref="D23">
    <cfRule type="cellIs" dxfId="1545" priority="6" operator="lessThan">
      <formula>0%</formula>
    </cfRule>
    <cfRule type="cellIs" dxfId="1544" priority="7" operator="greaterThan">
      <formula>H23</formula>
    </cfRule>
    <cfRule type="cellIs" dxfId="1543" priority="8" operator="between">
      <formula>0%</formula>
      <formula>H23</formula>
    </cfRule>
  </conditionalFormatting>
  <conditionalFormatting sqref="D22">
    <cfRule type="cellIs" dxfId="1542" priority="3" operator="lessThan">
      <formula>0%</formula>
    </cfRule>
    <cfRule type="cellIs" dxfId="1541" priority="4" operator="greaterThan">
      <formula>H22</formula>
    </cfRule>
    <cfRule type="cellIs" dxfId="1540" priority="5"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FB8C6D25-759F-473B-B828-5BC0C5636242}">
            <xm:f>-1*('STATE CODES (NUM) &amp; MIN-MAX'!$D$8)</xm:f>
            <x14:dxf>
              <font>
                <color rgb="FF9C0006"/>
              </font>
              <fill>
                <patternFill>
                  <bgColor rgb="FFFFC7CE"/>
                </patternFill>
              </fill>
            </x14:dxf>
          </x14:cfRule>
          <x14:cfRule type="cellIs" priority="2" operator="greaterThan" id="{DF923F96-6871-4D7D-9FCE-CF9D9588E232}">
            <xm:f>'STATE CODES (NUM) &amp; MIN-MAX'!$E$8</xm:f>
            <x14:dxf>
              <font>
                <color rgb="FF9C0006"/>
              </font>
              <fill>
                <patternFill>
                  <bgColor rgb="FFFFC7CE"/>
                </patternFill>
              </fill>
            </x14:dxf>
          </x14:cfRule>
          <xm:sqref>E26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103</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506"/>
      <c r="E10" s="506"/>
      <c r="F10" s="504"/>
      <c r="G10" s="50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497" t="s">
        <v>198</v>
      </c>
      <c r="C15" s="497" t="s">
        <v>199</v>
      </c>
      <c r="D15" s="497" t="s">
        <v>200</v>
      </c>
      <c r="E15" s="497" t="s">
        <v>201</v>
      </c>
      <c r="F15" s="497" t="s">
        <v>202</v>
      </c>
      <c r="G15" s="497" t="s">
        <v>203</v>
      </c>
    </row>
    <row r="16" spans="1:8" ht="15.75" thickBot="1" x14ac:dyDescent="0.3">
      <c r="B16" s="498"/>
      <c r="C16" s="498"/>
      <c r="D16" s="498"/>
      <c r="E16" s="498"/>
      <c r="F16" s="498"/>
      <c r="G16" s="498"/>
    </row>
    <row r="17" spans="2:9" ht="45" customHeight="1" thickBot="1" x14ac:dyDescent="0.3">
      <c r="B17" s="275" t="s">
        <v>204</v>
      </c>
      <c r="C17" s="135" t="s">
        <v>205</v>
      </c>
      <c r="D17" s="348">
        <v>0</v>
      </c>
      <c r="E17" s="348">
        <v>0</v>
      </c>
      <c r="F17" s="347"/>
      <c r="G17" s="408" t="s">
        <v>206</v>
      </c>
      <c r="H17" s="407">
        <v>0.1</v>
      </c>
      <c r="I17" s="407">
        <v>0.1</v>
      </c>
    </row>
    <row r="18" spans="2:9" ht="45" customHeight="1" thickBot="1" x14ac:dyDescent="0.3">
      <c r="B18" s="275" t="s">
        <v>292</v>
      </c>
      <c r="C18" s="136" t="s">
        <v>205</v>
      </c>
      <c r="D18" s="348">
        <v>0</v>
      </c>
      <c r="E18" s="348">
        <v>0</v>
      </c>
      <c r="F18" s="349"/>
      <c r="G18" s="409" t="s">
        <v>206</v>
      </c>
      <c r="H18" s="407">
        <v>0.1</v>
      </c>
      <c r="I18" s="407">
        <v>0.1</v>
      </c>
    </row>
    <row r="19" spans="2:9" ht="45" customHeight="1" thickBot="1" x14ac:dyDescent="0.3">
      <c r="B19" s="275" t="s">
        <v>208</v>
      </c>
      <c r="C19" s="137" t="s">
        <v>209</v>
      </c>
      <c r="D19" s="348">
        <v>0</v>
      </c>
      <c r="E19" s="348">
        <v>0</v>
      </c>
      <c r="F19" s="349"/>
      <c r="G19" s="409" t="s">
        <v>206</v>
      </c>
      <c r="H19" s="407">
        <v>0.05</v>
      </c>
      <c r="I19" s="407">
        <v>0.05</v>
      </c>
    </row>
    <row r="20" spans="2:9" ht="45" customHeight="1" thickBot="1" x14ac:dyDescent="0.3">
      <c r="B20" s="275" t="s">
        <v>288</v>
      </c>
      <c r="C20" s="138" t="s">
        <v>205</v>
      </c>
      <c r="D20" s="348">
        <v>0</v>
      </c>
      <c r="E20" s="348">
        <v>0</v>
      </c>
      <c r="F20" s="349"/>
      <c r="G20" s="409" t="s">
        <v>206</v>
      </c>
      <c r="H20" s="407">
        <v>0.1</v>
      </c>
      <c r="I20" s="407">
        <v>0.1</v>
      </c>
    </row>
    <row r="21" spans="2:9" ht="45" customHeight="1" thickBot="1" x14ac:dyDescent="0.3">
      <c r="B21" s="275" t="s">
        <v>210</v>
      </c>
      <c r="C21" s="138" t="s">
        <v>209</v>
      </c>
      <c r="D21" s="348">
        <v>0</v>
      </c>
      <c r="E21" s="348">
        <v>0</v>
      </c>
      <c r="F21" s="349"/>
      <c r="G21" s="409" t="s">
        <v>206</v>
      </c>
      <c r="H21" s="407">
        <v>0.05</v>
      </c>
      <c r="I21" s="407">
        <v>0.05</v>
      </c>
    </row>
    <row r="22" spans="2:9" ht="45" customHeight="1" thickBot="1" x14ac:dyDescent="0.3">
      <c r="B22" s="276" t="s">
        <v>289</v>
      </c>
      <c r="C22" s="137" t="s">
        <v>209</v>
      </c>
      <c r="D22" s="348">
        <v>0</v>
      </c>
      <c r="E22" s="348">
        <v>0</v>
      </c>
      <c r="F22" s="349"/>
      <c r="G22" s="409" t="s">
        <v>206</v>
      </c>
      <c r="H22" s="407">
        <v>0.05</v>
      </c>
      <c r="I22" s="407">
        <v>0.05</v>
      </c>
    </row>
    <row r="23" spans="2:9" ht="45" customHeight="1" thickBot="1" x14ac:dyDescent="0.3">
      <c r="B23" s="277" t="s">
        <v>213</v>
      </c>
      <c r="C23" s="139" t="s">
        <v>209</v>
      </c>
      <c r="D23" s="348">
        <v>0</v>
      </c>
      <c r="E23" s="348">
        <v>0</v>
      </c>
      <c r="F23" s="350"/>
      <c r="G23" s="410" t="s">
        <v>206</v>
      </c>
      <c r="H23" s="407">
        <v>0.05</v>
      </c>
      <c r="I23" s="407">
        <v>0.05</v>
      </c>
    </row>
    <row r="24" spans="2:9" ht="16.5" thickBot="1" x14ac:dyDescent="0.3">
      <c r="B24" s="92" t="s">
        <v>214</v>
      </c>
      <c r="C24" s="93"/>
      <c r="D24" s="429">
        <f>-1*SUM(D17:D23)</f>
        <v>0</v>
      </c>
      <c r="E24" s="430">
        <f>SUM(E17:E23)</f>
        <v>0</v>
      </c>
      <c r="F24" s="93"/>
    </row>
    <row r="25" spans="2:9" ht="15.75" x14ac:dyDescent="0.25">
      <c r="B25" s="92"/>
      <c r="C25" s="92"/>
      <c r="D25" s="93"/>
      <c r="E25" s="93"/>
      <c r="F25" s="93"/>
      <c r="G25" s="93"/>
    </row>
    <row r="26" spans="2:9" ht="16.5" thickBot="1" x14ac:dyDescent="0.3">
      <c r="B26" s="92"/>
      <c r="C26" s="251"/>
      <c r="D26" s="251" t="s">
        <v>287</v>
      </c>
      <c r="E26" s="428">
        <f>SUM(D24:E24)</f>
        <v>0</v>
      </c>
      <c r="F26" s="661" t="s">
        <v>443</v>
      </c>
      <c r="G26" s="662"/>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Bq0bGFcCUvW79z/mSSQamhLx0OF0ntr9jZ0U+EpMX3zurK6KX3Af0120WSpLk+yRi3nwOqQBCbMP17veVWeVeg==" saltValue="ZIdd8HLcbBvSkjaa5tUzfQ==" spinCount="100000" sheet="1" objects="1" scenarios="1" selectLockedCells="1"/>
  <mergeCells count="16">
    <mergeCell ref="C28:D28"/>
    <mergeCell ref="B15:B16"/>
    <mergeCell ref="D11:E11"/>
    <mergeCell ref="B13:G14"/>
    <mergeCell ref="C15:C16"/>
    <mergeCell ref="D15:D16"/>
    <mergeCell ref="E15:E16"/>
    <mergeCell ref="F15:F16"/>
    <mergeCell ref="G15:G16"/>
    <mergeCell ref="F26:G26"/>
    <mergeCell ref="B2:G2"/>
    <mergeCell ref="B4:G4"/>
    <mergeCell ref="D10:E10"/>
    <mergeCell ref="F10:G10"/>
    <mergeCell ref="F6:G6"/>
    <mergeCell ref="F8:G8"/>
  </mergeCells>
  <conditionalFormatting sqref="D17">
    <cfRule type="cellIs" dxfId="1537" priority="45" operator="lessThan">
      <formula>0%</formula>
    </cfRule>
    <cfRule type="cellIs" dxfId="1536" priority="46" operator="greaterThan">
      <formula>H17</formula>
    </cfRule>
    <cfRule type="cellIs" dxfId="1535" priority="47" operator="between">
      <formula>0%</formula>
      <formula>H17</formula>
    </cfRule>
  </conditionalFormatting>
  <conditionalFormatting sqref="E17">
    <cfRule type="cellIs" dxfId="1534" priority="42" operator="lessThan">
      <formula>0%</formula>
    </cfRule>
    <cfRule type="cellIs" dxfId="1533" priority="43" operator="greaterThan">
      <formula>I17</formula>
    </cfRule>
    <cfRule type="cellIs" dxfId="1532" priority="44" operator="between">
      <formula>0%</formula>
      <formula>I17</formula>
    </cfRule>
  </conditionalFormatting>
  <conditionalFormatting sqref="E18">
    <cfRule type="cellIs" dxfId="1531" priority="39" operator="lessThan">
      <formula>0%</formula>
    </cfRule>
    <cfRule type="cellIs" dxfId="1530" priority="40" operator="greaterThan">
      <formula>I18</formula>
    </cfRule>
    <cfRule type="cellIs" dxfId="1529" priority="41" operator="between">
      <formula>0%</formula>
      <formula>I18</formula>
    </cfRule>
  </conditionalFormatting>
  <conditionalFormatting sqref="D18">
    <cfRule type="cellIs" dxfId="1528" priority="36" operator="lessThan">
      <formula>0%</formula>
    </cfRule>
    <cfRule type="cellIs" dxfId="1527" priority="37" operator="greaterThan">
      <formula>H18</formula>
    </cfRule>
    <cfRule type="cellIs" dxfId="1526" priority="38" operator="between">
      <formula>0%</formula>
      <formula>H18</formula>
    </cfRule>
  </conditionalFormatting>
  <conditionalFormatting sqref="D19">
    <cfRule type="cellIs" dxfId="1525" priority="33" operator="lessThan">
      <formula>0%</formula>
    </cfRule>
    <cfRule type="cellIs" dxfId="1524" priority="34" operator="greaterThan">
      <formula>H19</formula>
    </cfRule>
    <cfRule type="cellIs" dxfId="1523" priority="35" operator="between">
      <formula>0%</formula>
      <formula>H19</formula>
    </cfRule>
  </conditionalFormatting>
  <conditionalFormatting sqref="E19">
    <cfRule type="cellIs" dxfId="1522" priority="30" operator="lessThan">
      <formula>0%</formula>
    </cfRule>
    <cfRule type="cellIs" dxfId="1521" priority="31" operator="greaterThan">
      <formula>I19</formula>
    </cfRule>
    <cfRule type="cellIs" dxfId="1520" priority="32" operator="between">
      <formula>0%</formula>
      <formula>I19</formula>
    </cfRule>
  </conditionalFormatting>
  <conditionalFormatting sqref="E20">
    <cfRule type="cellIs" dxfId="1519" priority="27" operator="lessThan">
      <formula>0%</formula>
    </cfRule>
    <cfRule type="cellIs" dxfId="1518" priority="28" operator="greaterThan">
      <formula>I20</formula>
    </cfRule>
    <cfRule type="cellIs" dxfId="1517" priority="29" operator="between">
      <formula>0%</formula>
      <formula>I20</formula>
    </cfRule>
  </conditionalFormatting>
  <conditionalFormatting sqref="D20">
    <cfRule type="cellIs" dxfId="1516" priority="24" operator="lessThan">
      <formula>0%</formula>
    </cfRule>
    <cfRule type="cellIs" dxfId="1515" priority="25" operator="greaterThan">
      <formula>H20</formula>
    </cfRule>
    <cfRule type="cellIs" dxfId="1514" priority="26" operator="between">
      <formula>0%</formula>
      <formula>H20</formula>
    </cfRule>
  </conditionalFormatting>
  <conditionalFormatting sqref="E21">
    <cfRule type="cellIs" dxfId="1513" priority="18" operator="lessThan">
      <formula>0%</formula>
    </cfRule>
    <cfRule type="cellIs" dxfId="1512" priority="19" operator="greaterThan">
      <formula>I21</formula>
    </cfRule>
    <cfRule type="cellIs" dxfId="1511" priority="20" operator="between">
      <formula>0%</formula>
      <formula>I21</formula>
    </cfRule>
  </conditionalFormatting>
  <conditionalFormatting sqref="E22">
    <cfRule type="cellIs" dxfId="1510" priority="15" operator="lessThan">
      <formula>0%</formula>
    </cfRule>
    <cfRule type="cellIs" dxfId="1509" priority="16" operator="greaterThan">
      <formula>I22</formula>
    </cfRule>
    <cfRule type="cellIs" dxfId="1508" priority="17" operator="between">
      <formula>0%</formula>
      <formula>I22</formula>
    </cfRule>
  </conditionalFormatting>
  <conditionalFormatting sqref="E23">
    <cfRule type="cellIs" dxfId="1507" priority="12" operator="lessThan">
      <formula>0%</formula>
    </cfRule>
    <cfRule type="cellIs" dxfId="1506" priority="13" operator="greaterThan">
      <formula>I23</formula>
    </cfRule>
    <cfRule type="cellIs" dxfId="1505" priority="14" operator="between">
      <formula>0%</formula>
      <formula>I23</formula>
    </cfRule>
  </conditionalFormatting>
  <conditionalFormatting sqref="D23">
    <cfRule type="cellIs" dxfId="1504" priority="9" operator="lessThan">
      <formula>0%</formula>
    </cfRule>
    <cfRule type="cellIs" dxfId="1503" priority="10" operator="greaterThan">
      <formula>H23</formula>
    </cfRule>
    <cfRule type="cellIs" dxfId="1502" priority="11" operator="between">
      <formula>0%</formula>
      <formula>H23</formula>
    </cfRule>
  </conditionalFormatting>
  <conditionalFormatting sqref="D22">
    <cfRule type="cellIs" dxfId="1501" priority="6" operator="lessThan">
      <formula>0%</formula>
    </cfRule>
    <cfRule type="cellIs" dxfId="1500" priority="7" operator="greaterThan">
      <formula>H22</formula>
    </cfRule>
    <cfRule type="cellIs" dxfId="1499" priority="8" operator="between">
      <formula>0%</formula>
      <formula>H22</formula>
    </cfRule>
  </conditionalFormatting>
  <conditionalFormatting sqref="D21">
    <cfRule type="cellIs" dxfId="1498" priority="3" operator="lessThan">
      <formula>0%</formula>
    </cfRule>
    <cfRule type="cellIs" dxfId="1497" priority="4" operator="greaterThan">
      <formula>H21</formula>
    </cfRule>
    <cfRule type="cellIs" dxfId="1496" priority="5" operator="between">
      <formula>0%</formula>
      <formula>H21</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AE70238F-B829-470C-A8B8-87582A73DD13}">
            <xm:f>-1*('STATE CODES (NUM) &amp; MIN-MAX'!$D$9)</xm:f>
            <x14:dxf>
              <font>
                <color rgb="FF9C0006"/>
              </font>
              <fill>
                <patternFill>
                  <bgColor rgb="FFFFC7CE"/>
                </patternFill>
              </fill>
            </x14:dxf>
          </x14:cfRule>
          <x14:cfRule type="cellIs" priority="2" operator="greaterThan" id="{15D6AC4C-DD26-4D86-87CC-D1B242375922}">
            <xm:f>'STATE CODES (NUM) &amp; MIN-MAX'!$E$9</xm:f>
            <x14:dxf>
              <font>
                <color rgb="FF9C0006"/>
              </font>
              <fill>
                <patternFill>
                  <bgColor rgb="FFFFC7CE"/>
                </patternFill>
              </fill>
            </x14:dxf>
          </x14:cfRule>
          <xm:sqref>E26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5">
    <pageSetUpPr fitToPage="1"/>
  </sheetPr>
  <dimension ref="A2:I29"/>
  <sheetViews>
    <sheetView showGridLines="0" showRowColHeaders="0" topLeftCell="A8"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104</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656" t="s">
        <v>323</v>
      </c>
      <c r="E10" s="656"/>
      <c r="F10" s="132" t="str">
        <f>B4</f>
        <v>DELAWARE</v>
      </c>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399</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98" t="s">
        <v>204</v>
      </c>
      <c r="C17" s="278" t="s">
        <v>205</v>
      </c>
      <c r="D17" s="348">
        <v>0</v>
      </c>
      <c r="E17" s="348">
        <v>0</v>
      </c>
      <c r="F17" s="364"/>
      <c r="G17" s="431" t="s">
        <v>206</v>
      </c>
      <c r="H17" s="407">
        <v>0.1</v>
      </c>
      <c r="I17" s="407">
        <v>0.1</v>
      </c>
    </row>
    <row r="18" spans="2:9" ht="45" customHeight="1" thickBot="1" x14ac:dyDescent="0.3">
      <c r="B18" s="98" t="s">
        <v>207</v>
      </c>
      <c r="C18" s="138" t="s">
        <v>225</v>
      </c>
      <c r="D18" s="348">
        <v>0</v>
      </c>
      <c r="E18" s="348">
        <v>0</v>
      </c>
      <c r="F18" s="366"/>
      <c r="G18" s="432" t="s">
        <v>206</v>
      </c>
      <c r="H18" s="407">
        <v>0.2</v>
      </c>
      <c r="I18" s="407">
        <v>0.2</v>
      </c>
    </row>
    <row r="19" spans="2:9" ht="45" customHeight="1" thickBot="1" x14ac:dyDescent="0.3">
      <c r="B19" s="98" t="s">
        <v>208</v>
      </c>
      <c r="C19" s="137" t="s">
        <v>205</v>
      </c>
      <c r="D19" s="348">
        <v>0</v>
      </c>
      <c r="E19" s="348">
        <v>0</v>
      </c>
      <c r="F19" s="366"/>
      <c r="G19" s="432" t="s">
        <v>206</v>
      </c>
      <c r="H19" s="407">
        <v>0.1</v>
      </c>
      <c r="I19" s="407">
        <v>0.1</v>
      </c>
    </row>
    <row r="20" spans="2:9" ht="45" customHeight="1" thickBot="1" x14ac:dyDescent="0.3">
      <c r="B20" s="98" t="s">
        <v>288</v>
      </c>
      <c r="C20" s="137" t="s">
        <v>205</v>
      </c>
      <c r="D20" s="348">
        <v>0</v>
      </c>
      <c r="E20" s="348">
        <v>0</v>
      </c>
      <c r="F20" s="366"/>
      <c r="G20" s="432" t="s">
        <v>206</v>
      </c>
      <c r="H20" s="407">
        <v>0.1</v>
      </c>
      <c r="I20" s="407">
        <v>0.1</v>
      </c>
    </row>
    <row r="21" spans="2:9" ht="45" customHeight="1" thickBot="1" x14ac:dyDescent="0.3">
      <c r="B21" s="98" t="s">
        <v>210</v>
      </c>
      <c r="C21" s="137" t="s">
        <v>205</v>
      </c>
      <c r="D21" s="348">
        <v>0</v>
      </c>
      <c r="E21" s="348">
        <v>0</v>
      </c>
      <c r="F21" s="366"/>
      <c r="G21" s="432" t="s">
        <v>206</v>
      </c>
      <c r="H21" s="407">
        <v>0.1</v>
      </c>
      <c r="I21" s="407">
        <v>0.1</v>
      </c>
    </row>
    <row r="22" spans="2:9" ht="45" customHeight="1" thickBot="1" x14ac:dyDescent="0.3">
      <c r="B22" s="98" t="s">
        <v>289</v>
      </c>
      <c r="C22" s="137" t="s">
        <v>205</v>
      </c>
      <c r="D22" s="348">
        <v>0</v>
      </c>
      <c r="E22" s="348">
        <v>0</v>
      </c>
      <c r="F22" s="366"/>
      <c r="G22" s="432" t="s">
        <v>206</v>
      </c>
      <c r="H22" s="407">
        <v>0.1</v>
      </c>
      <c r="I22" s="407">
        <v>0.1</v>
      </c>
    </row>
    <row r="23" spans="2:9" ht="45" customHeight="1" thickBot="1" x14ac:dyDescent="0.3">
      <c r="B23" s="98" t="s">
        <v>290</v>
      </c>
      <c r="C23" s="138" t="s">
        <v>209</v>
      </c>
      <c r="D23" s="348">
        <v>0</v>
      </c>
      <c r="E23" s="348">
        <v>0</v>
      </c>
      <c r="F23" s="366"/>
      <c r="G23" s="432" t="s">
        <v>206</v>
      </c>
      <c r="H23" s="407">
        <v>0.05</v>
      </c>
      <c r="I23" s="407">
        <v>0.05</v>
      </c>
    </row>
    <row r="24" spans="2:9" ht="45" customHeight="1" thickBot="1" x14ac:dyDescent="0.3">
      <c r="B24" s="98" t="s">
        <v>291</v>
      </c>
      <c r="C24" s="279" t="s">
        <v>205</v>
      </c>
      <c r="D24" s="348">
        <v>0</v>
      </c>
      <c r="E24" s="348">
        <v>0</v>
      </c>
      <c r="F24" s="367"/>
      <c r="G24" s="432" t="s">
        <v>206</v>
      </c>
      <c r="H24" s="407">
        <v>0.1</v>
      </c>
      <c r="I24" s="407">
        <v>0.1</v>
      </c>
    </row>
    <row r="25" spans="2:9" ht="16.5" thickBot="1" x14ac:dyDescent="0.3">
      <c r="B25" s="92" t="s">
        <v>214</v>
      </c>
      <c r="C25" s="92"/>
      <c r="D25" s="127">
        <f>-1 * SUM(D17:D24)</f>
        <v>0</v>
      </c>
      <c r="E25" s="127">
        <f>SUM(E17:E24)</f>
        <v>0</v>
      </c>
      <c r="F25" s="93"/>
      <c r="G25" s="93"/>
    </row>
    <row r="26" spans="2:9" ht="15.75" x14ac:dyDescent="0.25">
      <c r="B26" s="92"/>
      <c r="C26" s="92"/>
      <c r="D26" s="93"/>
      <c r="E26" s="93"/>
      <c r="F26" s="93"/>
      <c r="G26" s="93"/>
    </row>
    <row r="27" spans="2:9" ht="16.5" thickBot="1" x14ac:dyDescent="0.3">
      <c r="B27" s="92"/>
      <c r="C27" s="251"/>
      <c r="D27" s="251" t="s">
        <v>287</v>
      </c>
      <c r="E27" s="428">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gg10vXnq0shT8CGI7XNg+SqFFnzcAR40Lg4sTEEcjUPU7gy6MCD7qlIGLoGdMgX6QOa0b0quupzuAZLsjqnrsA==" saltValue="zF7PCQjzFhfOD3ksfoxhLA==" spinCount="100000" sheet="1" objects="1" scenarios="1" selectLockedCells="1"/>
  <mergeCells count="15">
    <mergeCell ref="C29:D29"/>
    <mergeCell ref="D11:E11"/>
    <mergeCell ref="B13:G14"/>
    <mergeCell ref="C15:C16"/>
    <mergeCell ref="D15:D16"/>
    <mergeCell ref="E15:E16"/>
    <mergeCell ref="F15:F16"/>
    <mergeCell ref="G15:G16"/>
    <mergeCell ref="B15:B16"/>
    <mergeCell ref="F27:G27"/>
    <mergeCell ref="B2:G2"/>
    <mergeCell ref="B4:G4"/>
    <mergeCell ref="F6:G6"/>
    <mergeCell ref="F8:G8"/>
    <mergeCell ref="D10:E10"/>
  </mergeCells>
  <conditionalFormatting sqref="D17">
    <cfRule type="cellIs" dxfId="1493" priority="57" operator="lessThan">
      <formula>0%</formula>
    </cfRule>
    <cfRule type="cellIs" dxfId="1492" priority="58" operator="greaterThan">
      <formula>H17</formula>
    </cfRule>
    <cfRule type="cellIs" dxfId="1491" priority="59" operator="between">
      <formula>0%</formula>
      <formula>H17</formula>
    </cfRule>
  </conditionalFormatting>
  <conditionalFormatting sqref="E17">
    <cfRule type="cellIs" dxfId="1490" priority="54" operator="lessThan">
      <formula>0%</formula>
    </cfRule>
    <cfRule type="cellIs" dxfId="1489" priority="55" operator="greaterThan">
      <formula>I17</formula>
    </cfRule>
    <cfRule type="cellIs" dxfId="1488" priority="56" operator="between">
      <formula>0%</formula>
      <formula>I17</formula>
    </cfRule>
  </conditionalFormatting>
  <conditionalFormatting sqref="D19">
    <cfRule type="cellIs" dxfId="1487" priority="45" operator="lessThan">
      <formula>0%</formula>
    </cfRule>
    <cfRule type="cellIs" dxfId="1486" priority="46" operator="greaterThan">
      <formula>H19</formula>
    </cfRule>
    <cfRule type="cellIs" dxfId="1485" priority="47" operator="between">
      <formula>0%</formula>
      <formula>H19</formula>
    </cfRule>
  </conditionalFormatting>
  <conditionalFormatting sqref="D18">
    <cfRule type="cellIs" dxfId="1484" priority="42" operator="lessThan">
      <formula>0%</formula>
    </cfRule>
    <cfRule type="cellIs" dxfId="1483" priority="43" operator="greaterThan">
      <formula>H18</formula>
    </cfRule>
    <cfRule type="cellIs" dxfId="1482" priority="44" operator="between">
      <formula>0%</formula>
      <formula>H18</formula>
    </cfRule>
  </conditionalFormatting>
  <conditionalFormatting sqref="D20">
    <cfRule type="cellIs" dxfId="1481" priority="39" operator="lessThan">
      <formula>0%</formula>
    </cfRule>
    <cfRule type="cellIs" dxfId="1480" priority="40" operator="greaterThan">
      <formula>H20</formula>
    </cfRule>
    <cfRule type="cellIs" dxfId="1479" priority="41" operator="between">
      <formula>0%</formula>
      <formula>H20</formula>
    </cfRule>
  </conditionalFormatting>
  <conditionalFormatting sqref="D21">
    <cfRule type="cellIs" dxfId="1478" priority="36" operator="lessThan">
      <formula>0%</formula>
    </cfRule>
    <cfRule type="cellIs" dxfId="1477" priority="37" operator="greaterThan">
      <formula>H21</formula>
    </cfRule>
    <cfRule type="cellIs" dxfId="1476" priority="38" operator="between">
      <formula>0%</formula>
      <formula>H21</formula>
    </cfRule>
  </conditionalFormatting>
  <conditionalFormatting sqref="D22">
    <cfRule type="cellIs" dxfId="1475" priority="33" operator="lessThan">
      <formula>0%</formula>
    </cfRule>
    <cfRule type="cellIs" dxfId="1474" priority="34" operator="greaterThan">
      <formula>H22</formula>
    </cfRule>
    <cfRule type="cellIs" dxfId="1473" priority="35" operator="between">
      <formula>0%</formula>
      <formula>H22</formula>
    </cfRule>
  </conditionalFormatting>
  <conditionalFormatting sqref="D23">
    <cfRule type="cellIs" dxfId="1472" priority="30" operator="lessThan">
      <formula>0%</formula>
    </cfRule>
    <cfRule type="cellIs" dxfId="1471" priority="31" operator="greaterThan">
      <formula>H23</formula>
    </cfRule>
    <cfRule type="cellIs" dxfId="1470" priority="32" operator="between">
      <formula>0%</formula>
      <formula>H23</formula>
    </cfRule>
  </conditionalFormatting>
  <conditionalFormatting sqref="D24">
    <cfRule type="cellIs" dxfId="1469" priority="27" operator="lessThan">
      <formula>0%</formula>
    </cfRule>
    <cfRule type="cellIs" dxfId="1468" priority="28" operator="greaterThan">
      <formula>H24</formula>
    </cfRule>
    <cfRule type="cellIs" dxfId="1467" priority="29" operator="between">
      <formula>0%</formula>
      <formula>H24</formula>
    </cfRule>
  </conditionalFormatting>
  <conditionalFormatting sqref="E24">
    <cfRule type="cellIs" dxfId="1466" priority="24" operator="lessThan">
      <formula>0%</formula>
    </cfRule>
    <cfRule type="cellIs" dxfId="1465" priority="25" operator="greaterThan">
      <formula>I24</formula>
    </cfRule>
    <cfRule type="cellIs" dxfId="1464" priority="26" operator="between">
      <formula>0%</formula>
      <formula>I24</formula>
    </cfRule>
  </conditionalFormatting>
  <conditionalFormatting sqref="E23">
    <cfRule type="cellIs" dxfId="1463" priority="21" operator="lessThan">
      <formula>0%</formula>
    </cfRule>
    <cfRule type="cellIs" dxfId="1462" priority="22" operator="greaterThan">
      <formula>I23</formula>
    </cfRule>
    <cfRule type="cellIs" dxfId="1461" priority="23" operator="between">
      <formula>0%</formula>
      <formula>I23</formula>
    </cfRule>
  </conditionalFormatting>
  <conditionalFormatting sqref="E22">
    <cfRule type="cellIs" dxfId="1460" priority="18" operator="lessThan">
      <formula>0%</formula>
    </cfRule>
    <cfRule type="cellIs" dxfId="1459" priority="19" operator="greaterThan">
      <formula>I22</formula>
    </cfRule>
    <cfRule type="cellIs" dxfId="1458" priority="20" operator="between">
      <formula>0%</formula>
      <formula>I22</formula>
    </cfRule>
  </conditionalFormatting>
  <conditionalFormatting sqref="E21">
    <cfRule type="cellIs" dxfId="1457" priority="15" operator="lessThan">
      <formula>0%</formula>
    </cfRule>
    <cfRule type="cellIs" dxfId="1456" priority="16" operator="greaterThan">
      <formula>I21</formula>
    </cfRule>
    <cfRule type="cellIs" dxfId="1455" priority="17" operator="between">
      <formula>0%</formula>
      <formula>I21</formula>
    </cfRule>
  </conditionalFormatting>
  <conditionalFormatting sqref="E20">
    <cfRule type="cellIs" dxfId="1454" priority="12" operator="lessThan">
      <formula>0%</formula>
    </cfRule>
    <cfRule type="cellIs" dxfId="1453" priority="13" operator="greaterThan">
      <formula>I20</formula>
    </cfRule>
    <cfRule type="cellIs" dxfId="1452" priority="14" operator="between">
      <formula>0%</formula>
      <formula>I20</formula>
    </cfRule>
  </conditionalFormatting>
  <conditionalFormatting sqref="E18">
    <cfRule type="cellIs" dxfId="1451" priority="6" operator="lessThan">
      <formula>0%</formula>
    </cfRule>
    <cfRule type="cellIs" dxfId="1450" priority="7" operator="greaterThan">
      <formula>I18</formula>
    </cfRule>
    <cfRule type="cellIs" dxfId="1449" priority="8" operator="between">
      <formula>0%</formula>
      <formula>I18</formula>
    </cfRule>
  </conditionalFormatting>
  <conditionalFormatting sqref="E19">
    <cfRule type="cellIs" dxfId="1448" priority="3" operator="lessThan">
      <formula>0%</formula>
    </cfRule>
    <cfRule type="cellIs" dxfId="1447" priority="4" operator="greaterThan">
      <formula>I19</formula>
    </cfRule>
    <cfRule type="cellIs" dxfId="1446" priority="5" operator="between">
      <formula>0%</formula>
      <formula>I19</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lessThan" id="{469DBA96-3BB2-4C56-B3D6-A5EAB276A3C0}">
            <xm:f>-1*('STATE CODES (NUM) &amp; MIN-MAX'!$D$10)</xm:f>
            <x14:dxf>
              <font>
                <color rgb="FF9C0006"/>
              </font>
              <fill>
                <patternFill>
                  <bgColor rgb="FFFFC7CE"/>
                </patternFill>
              </fill>
            </x14:dxf>
          </x14:cfRule>
          <x14:cfRule type="cellIs" priority="2" operator="greaterThan" id="{A66C7910-EEA4-48FD-BB06-CA86A0ECE665}">
            <xm:f>'STATE CODES (NUM) &amp; MIN-MAX'!$E$10</xm:f>
            <x14:dxf>
              <font>
                <color rgb="FF9C0006"/>
              </font>
              <fill>
                <patternFill>
                  <bgColor rgb="FFFFC7CE"/>
                </patternFill>
              </fill>
            </x14:dxf>
          </x14:cfRule>
          <xm:sqref>E27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pageSetUpPr fitToPage="1"/>
  </sheetPr>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105</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52"/>
      <c r="E6" s="252" t="s">
        <v>194</v>
      </c>
      <c r="F6" s="508" t="str">
        <f>IF('Worksheet Prep'!G5&lt;&gt;"",'Worksheet Prep'!G5,"")</f>
        <v/>
      </c>
      <c r="G6" s="508"/>
      <c r="H6" s="94"/>
    </row>
    <row r="7" spans="2:8" ht="15.75" x14ac:dyDescent="0.25">
      <c r="B7" s="252"/>
      <c r="D7" s="252"/>
      <c r="E7" s="97"/>
      <c r="F7" s="97"/>
      <c r="G7" s="97"/>
      <c r="H7" s="94"/>
    </row>
    <row r="8" spans="2:8" ht="15.75" x14ac:dyDescent="0.25">
      <c r="B8" s="252" t="s">
        <v>224</v>
      </c>
      <c r="C8" s="345"/>
      <c r="D8" s="252"/>
      <c r="E8" s="252" t="s">
        <v>195</v>
      </c>
      <c r="F8" s="509" t="str">
        <f>IF('Worksheet Prep'!C5&lt;&gt;"",'Worksheet Prep'!C5,"")</f>
        <v/>
      </c>
      <c r="G8" s="509"/>
      <c r="H8" s="95"/>
    </row>
    <row r="9" spans="2:8" ht="15.75" x14ac:dyDescent="0.25">
      <c r="B9" s="252"/>
      <c r="D9" s="252"/>
      <c r="E9" s="126"/>
      <c r="F9" s="126"/>
      <c r="G9" s="126"/>
      <c r="H9" s="95"/>
    </row>
    <row r="10" spans="2:8" ht="15.75" x14ac:dyDescent="0.25">
      <c r="B10" s="252" t="s">
        <v>196</v>
      </c>
      <c r="C10" s="242" t="str">
        <f>'Additional Info'!F2</f>
        <v>Praetorian Insurance - 3501</v>
      </c>
      <c r="D10" s="656" t="s">
        <v>323</v>
      </c>
      <c r="E10" s="656"/>
      <c r="F10" s="132" t="str">
        <f>B4</f>
        <v>DISTRICT OF COLUMBIA</v>
      </c>
      <c r="G10" s="101"/>
    </row>
    <row r="11" spans="2:8" ht="24" customHeight="1" x14ac:dyDescent="0.25">
      <c r="B11" s="252" t="s">
        <v>197</v>
      </c>
      <c r="C11" s="96">
        <f>VLOOKUP(C10,'STATE CODES (NUM) &amp; MIN-MAX'!B56:D58,3,FALSE)</f>
        <v>21172</v>
      </c>
      <c r="D11" s="501"/>
      <c r="E11" s="501"/>
      <c r="F11" s="93"/>
      <c r="G11" s="93"/>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3" t="s">
        <v>204</v>
      </c>
      <c r="C17" s="285" t="s">
        <v>205</v>
      </c>
      <c r="D17" s="348">
        <v>0</v>
      </c>
      <c r="E17" s="348">
        <v>0</v>
      </c>
      <c r="F17" s="364"/>
      <c r="G17" s="431" t="s">
        <v>206</v>
      </c>
      <c r="H17" s="407">
        <v>0.1</v>
      </c>
      <c r="I17" s="407">
        <v>0.1</v>
      </c>
    </row>
    <row r="18" spans="2:9" ht="45" customHeight="1" thickBot="1" x14ac:dyDescent="0.3">
      <c r="B18" s="273" t="s">
        <v>207</v>
      </c>
      <c r="C18" s="140" t="s">
        <v>205</v>
      </c>
      <c r="D18" s="348">
        <v>0</v>
      </c>
      <c r="E18" s="348">
        <v>0</v>
      </c>
      <c r="F18" s="366"/>
      <c r="G18" s="432" t="s">
        <v>206</v>
      </c>
      <c r="H18" s="407">
        <v>0.1</v>
      </c>
      <c r="I18" s="407">
        <v>0.1</v>
      </c>
    </row>
    <row r="19" spans="2:9" ht="45" customHeight="1" thickBot="1" x14ac:dyDescent="0.3">
      <c r="B19" s="273" t="s">
        <v>208</v>
      </c>
      <c r="C19" s="140" t="s">
        <v>209</v>
      </c>
      <c r="D19" s="348">
        <v>0</v>
      </c>
      <c r="E19" s="348">
        <v>0</v>
      </c>
      <c r="F19" s="366"/>
      <c r="G19" s="432" t="s">
        <v>206</v>
      </c>
      <c r="H19" s="407">
        <v>0.05</v>
      </c>
      <c r="I19" s="407">
        <v>0.05</v>
      </c>
    </row>
    <row r="20" spans="2:9" ht="45" customHeight="1" thickBot="1" x14ac:dyDescent="0.3">
      <c r="B20" s="273" t="s">
        <v>288</v>
      </c>
      <c r="C20" s="140" t="s">
        <v>205</v>
      </c>
      <c r="D20" s="348">
        <v>0</v>
      </c>
      <c r="E20" s="348">
        <v>0</v>
      </c>
      <c r="F20" s="366"/>
      <c r="G20" s="432" t="s">
        <v>206</v>
      </c>
      <c r="H20" s="407">
        <v>0.1</v>
      </c>
      <c r="I20" s="407">
        <v>0.1</v>
      </c>
    </row>
    <row r="21" spans="2:9" ht="45" customHeight="1" x14ac:dyDescent="0.25">
      <c r="B21" s="273" t="s">
        <v>210</v>
      </c>
      <c r="C21" s="140" t="s">
        <v>209</v>
      </c>
      <c r="D21" s="348">
        <v>0</v>
      </c>
      <c r="E21" s="348">
        <v>0</v>
      </c>
      <c r="F21" s="366"/>
      <c r="G21" s="432" t="s">
        <v>206</v>
      </c>
      <c r="H21" s="407">
        <v>0.05</v>
      </c>
      <c r="I21" s="407">
        <v>0.05</v>
      </c>
    </row>
    <row r="22" spans="2:9" ht="45" customHeight="1" x14ac:dyDescent="0.25">
      <c r="B22" s="280" t="s">
        <v>289</v>
      </c>
      <c r="C22" s="140" t="s">
        <v>209</v>
      </c>
      <c r="D22" s="348">
        <v>0</v>
      </c>
      <c r="E22" s="348">
        <v>0</v>
      </c>
      <c r="F22" s="366"/>
      <c r="G22" s="432" t="s">
        <v>206</v>
      </c>
      <c r="H22" s="407">
        <v>0.05</v>
      </c>
      <c r="I22" s="407">
        <v>0.05</v>
      </c>
    </row>
    <row r="23" spans="2:9" ht="45" customHeight="1" thickBot="1" x14ac:dyDescent="0.3">
      <c r="B23" s="281" t="s">
        <v>213</v>
      </c>
      <c r="C23" s="286" t="s">
        <v>209</v>
      </c>
      <c r="D23" s="348">
        <v>0</v>
      </c>
      <c r="E23" s="348">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39">
        <f>SUM(D24:E24)</f>
        <v>0</v>
      </c>
      <c r="F26" s="659" t="s">
        <v>443</v>
      </c>
      <c r="G26" s="663"/>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tsUmkDE0g2JLPhhPf7BVISD0+JKwY5NhDR082CpAjii4s92jqwygI2ev0+VJUz6i7GEI60iUKPxpojeT6WcfeA==" saltValue="ZdQqflqWDRpclexYP+N8OQ==" spinCount="100000" sheet="1" objects="1" scenarios="1" selectLockedCells="1"/>
  <mergeCells count="15">
    <mergeCell ref="C28:D28"/>
    <mergeCell ref="D11:E11"/>
    <mergeCell ref="B13:G14"/>
    <mergeCell ref="B15:B16"/>
    <mergeCell ref="C15:C16"/>
    <mergeCell ref="D15:D16"/>
    <mergeCell ref="E15:E16"/>
    <mergeCell ref="F15:F16"/>
    <mergeCell ref="G15:G16"/>
    <mergeCell ref="F26:G26"/>
    <mergeCell ref="B2:G2"/>
    <mergeCell ref="B4:G4"/>
    <mergeCell ref="F6:G6"/>
    <mergeCell ref="F8:G8"/>
    <mergeCell ref="D10:E10"/>
  </mergeCells>
  <conditionalFormatting sqref="D17">
    <cfRule type="cellIs" dxfId="1443" priority="43" operator="lessThan">
      <formula>0%</formula>
    </cfRule>
    <cfRule type="cellIs" dxfId="1442" priority="44" operator="greaterThan">
      <formula>H17</formula>
    </cfRule>
    <cfRule type="cellIs" dxfId="1441" priority="45" operator="between">
      <formula>0%</formula>
      <formula>H17</formula>
    </cfRule>
  </conditionalFormatting>
  <conditionalFormatting sqref="E17">
    <cfRule type="cellIs" dxfId="1440" priority="40" operator="lessThan">
      <formula>0%</formula>
    </cfRule>
    <cfRule type="cellIs" dxfId="1439" priority="41" operator="greaterThan">
      <formula>I17</formula>
    </cfRule>
    <cfRule type="cellIs" dxfId="1438" priority="42" operator="between">
      <formula>0%</formula>
      <formula>I17</formula>
    </cfRule>
  </conditionalFormatting>
  <conditionalFormatting sqref="E18">
    <cfRule type="cellIs" dxfId="1437" priority="37" operator="lessThan">
      <formula>0%</formula>
    </cfRule>
    <cfRule type="cellIs" dxfId="1436" priority="38" operator="greaterThan">
      <formula>I18</formula>
    </cfRule>
    <cfRule type="cellIs" dxfId="1435" priority="39" operator="between">
      <formula>0%</formula>
      <formula>I18</formula>
    </cfRule>
  </conditionalFormatting>
  <conditionalFormatting sqref="D18">
    <cfRule type="cellIs" dxfId="1434" priority="34" operator="lessThan">
      <formula>0%</formula>
    </cfRule>
    <cfRule type="cellIs" dxfId="1433" priority="35" operator="greaterThan">
      <formula>H18</formula>
    </cfRule>
    <cfRule type="cellIs" dxfId="1432" priority="36" operator="between">
      <formula>0%</formula>
      <formula>H18</formula>
    </cfRule>
  </conditionalFormatting>
  <conditionalFormatting sqref="D19">
    <cfRule type="cellIs" dxfId="1431" priority="31" operator="lessThan">
      <formula>0%</formula>
    </cfRule>
    <cfRule type="cellIs" dxfId="1430" priority="32" operator="greaterThan">
      <formula>H19</formula>
    </cfRule>
    <cfRule type="cellIs" dxfId="1429" priority="33" operator="between">
      <formula>0%</formula>
      <formula>H19</formula>
    </cfRule>
  </conditionalFormatting>
  <conditionalFormatting sqref="E19">
    <cfRule type="cellIs" dxfId="1428" priority="28" operator="lessThan">
      <formula>0%</formula>
    </cfRule>
    <cfRule type="cellIs" dxfId="1427" priority="29" operator="greaterThan">
      <formula>I19</formula>
    </cfRule>
    <cfRule type="cellIs" dxfId="1426" priority="30" operator="between">
      <formula>0%</formula>
      <formula>I19</formula>
    </cfRule>
  </conditionalFormatting>
  <conditionalFormatting sqref="E20">
    <cfRule type="cellIs" dxfId="1425" priority="25" operator="lessThan">
      <formula>0%</formula>
    </cfRule>
    <cfRule type="cellIs" dxfId="1424" priority="26" operator="greaterThan">
      <formula>I20</formula>
    </cfRule>
    <cfRule type="cellIs" dxfId="1423" priority="27" operator="between">
      <formula>0%</formula>
      <formula>I20</formula>
    </cfRule>
  </conditionalFormatting>
  <conditionalFormatting sqref="D20">
    <cfRule type="cellIs" dxfId="1422" priority="22" operator="lessThan">
      <formula>0%</formula>
    </cfRule>
    <cfRule type="cellIs" dxfId="1421" priority="23" operator="greaterThan">
      <formula>H20</formula>
    </cfRule>
    <cfRule type="cellIs" dxfId="1420" priority="24" operator="between">
      <formula>0%</formula>
      <formula>H20</formula>
    </cfRule>
  </conditionalFormatting>
  <conditionalFormatting sqref="D21">
    <cfRule type="cellIs" dxfId="1419" priority="19" operator="lessThan">
      <formula>0%</formula>
    </cfRule>
    <cfRule type="cellIs" dxfId="1418" priority="20" operator="greaterThan">
      <formula>H21</formula>
    </cfRule>
    <cfRule type="cellIs" dxfId="1417" priority="21" operator="between">
      <formula>0%</formula>
      <formula>H21</formula>
    </cfRule>
  </conditionalFormatting>
  <conditionalFormatting sqref="E21">
    <cfRule type="cellIs" dxfId="1416" priority="16" operator="lessThan">
      <formula>0%</formula>
    </cfRule>
    <cfRule type="cellIs" dxfId="1415" priority="17" operator="greaterThan">
      <formula>I21</formula>
    </cfRule>
    <cfRule type="cellIs" dxfId="1414" priority="18" operator="between">
      <formula>0%</formula>
      <formula>I21</formula>
    </cfRule>
  </conditionalFormatting>
  <conditionalFormatting sqref="E22">
    <cfRule type="cellIs" dxfId="1413" priority="13" operator="lessThan">
      <formula>0%</formula>
    </cfRule>
    <cfRule type="cellIs" dxfId="1412" priority="14" operator="greaterThan">
      <formula>I22</formula>
    </cfRule>
    <cfRule type="cellIs" dxfId="1411" priority="15" operator="between">
      <formula>0%</formula>
      <formula>I22</formula>
    </cfRule>
  </conditionalFormatting>
  <conditionalFormatting sqref="D22">
    <cfRule type="cellIs" dxfId="1410" priority="10" operator="lessThan">
      <formula>0%</formula>
    </cfRule>
    <cfRule type="cellIs" dxfId="1409" priority="11" operator="greaterThan">
      <formula>H22</formula>
    </cfRule>
    <cfRule type="cellIs" dxfId="1408" priority="12" operator="between">
      <formula>0%</formula>
      <formula>H22</formula>
    </cfRule>
  </conditionalFormatting>
  <conditionalFormatting sqref="D23">
    <cfRule type="cellIs" dxfId="1407" priority="7" operator="lessThan">
      <formula>0%</formula>
    </cfRule>
    <cfRule type="cellIs" dxfId="1406" priority="8" operator="greaterThan">
      <formula>H23</formula>
    </cfRule>
    <cfRule type="cellIs" dxfId="1405" priority="9" operator="between">
      <formula>0%</formula>
      <formula>H23</formula>
    </cfRule>
  </conditionalFormatting>
  <conditionalFormatting sqref="E23">
    <cfRule type="cellIs" dxfId="1404" priority="4" operator="lessThan">
      <formula>0%</formula>
    </cfRule>
    <cfRule type="cellIs" dxfId="1403" priority="5" operator="greaterThan">
      <formula>I23</formula>
    </cfRule>
    <cfRule type="cellIs" dxfId="1402" priority="6"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stopIfTrue="1" operator="notBetween" id="{5A97BDEC-F747-46F5-8484-43B31D692537}">
            <xm:f>-1 * 'STATE CODES (NUM) &amp; MIN-MAX'!$E$11</xm:f>
            <xm:f>'STATE CODES (NUM) &amp; MIN-MAX'!$E$11</xm:f>
            <x14:dxf>
              <font>
                <color theme="5" tint="-0.499984740745262"/>
              </font>
              <fill>
                <patternFill>
                  <bgColor rgb="FFFFCCCC"/>
                </patternFill>
              </fill>
            </x14:dxf>
          </x14:cfRule>
          <xm:sqref>E26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7">
    <pageSetUpPr fitToPage="1"/>
  </sheetPr>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107</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94"/>
      <c r="E10" s="252" t="s">
        <v>323</v>
      </c>
      <c r="F10" s="283" t="str">
        <f>B4</f>
        <v>GEORGIA</v>
      </c>
      <c r="G10" s="13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400</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62" t="s">
        <v>204</v>
      </c>
      <c r="C17" s="278" t="s">
        <v>205</v>
      </c>
      <c r="D17" s="346">
        <v>0</v>
      </c>
      <c r="E17" s="346">
        <v>0</v>
      </c>
      <c r="F17" s="364"/>
      <c r="G17" s="431" t="s">
        <v>206</v>
      </c>
      <c r="H17" s="407">
        <v>0.1</v>
      </c>
      <c r="I17" s="407">
        <v>0.1</v>
      </c>
    </row>
    <row r="18" spans="2:9" ht="45" customHeight="1" thickBot="1" x14ac:dyDescent="0.3">
      <c r="B18" s="263" t="s">
        <v>207</v>
      </c>
      <c r="C18" s="138" t="s">
        <v>225</v>
      </c>
      <c r="D18" s="348">
        <v>0</v>
      </c>
      <c r="E18" s="348">
        <v>0</v>
      </c>
      <c r="F18" s="366"/>
      <c r="G18" s="432" t="s">
        <v>206</v>
      </c>
      <c r="H18" s="407">
        <v>0.2</v>
      </c>
      <c r="I18" s="407">
        <v>0.2</v>
      </c>
    </row>
    <row r="19" spans="2:9" ht="45" customHeight="1" thickBot="1" x14ac:dyDescent="0.3">
      <c r="B19" s="263" t="s">
        <v>208</v>
      </c>
      <c r="C19" s="137" t="s">
        <v>205</v>
      </c>
      <c r="D19" s="348">
        <v>0</v>
      </c>
      <c r="E19" s="348">
        <v>0</v>
      </c>
      <c r="F19" s="366"/>
      <c r="G19" s="432" t="s">
        <v>206</v>
      </c>
      <c r="H19" s="407">
        <v>0.1</v>
      </c>
      <c r="I19" s="407">
        <v>0.1</v>
      </c>
    </row>
    <row r="20" spans="2:9" ht="45" customHeight="1" thickBot="1" x14ac:dyDescent="0.3">
      <c r="B20" s="263" t="s">
        <v>288</v>
      </c>
      <c r="C20" s="137" t="s">
        <v>205</v>
      </c>
      <c r="D20" s="348">
        <v>0</v>
      </c>
      <c r="E20" s="348">
        <v>0</v>
      </c>
      <c r="F20" s="366"/>
      <c r="G20" s="432" t="s">
        <v>206</v>
      </c>
      <c r="H20" s="407">
        <v>0.1</v>
      </c>
      <c r="I20" s="407">
        <v>0.1</v>
      </c>
    </row>
    <row r="21" spans="2:9" ht="45" customHeight="1" thickBot="1" x14ac:dyDescent="0.3">
      <c r="B21" s="263" t="s">
        <v>210</v>
      </c>
      <c r="C21" s="137" t="s">
        <v>205</v>
      </c>
      <c r="D21" s="348">
        <v>0</v>
      </c>
      <c r="E21" s="348">
        <v>0</v>
      </c>
      <c r="F21" s="366"/>
      <c r="G21" s="432" t="s">
        <v>206</v>
      </c>
      <c r="H21" s="407">
        <v>0.1</v>
      </c>
      <c r="I21" s="407">
        <v>0.1</v>
      </c>
    </row>
    <row r="22" spans="2:9" ht="45" customHeight="1" thickBot="1" x14ac:dyDescent="0.3">
      <c r="B22" s="263" t="s">
        <v>289</v>
      </c>
      <c r="C22" s="137" t="s">
        <v>205</v>
      </c>
      <c r="D22" s="348">
        <v>0</v>
      </c>
      <c r="E22" s="348">
        <v>0</v>
      </c>
      <c r="F22" s="366"/>
      <c r="G22" s="432" t="s">
        <v>206</v>
      </c>
      <c r="H22" s="407">
        <v>0.1</v>
      </c>
      <c r="I22" s="407">
        <v>0.1</v>
      </c>
    </row>
    <row r="23" spans="2:9" ht="45" customHeight="1" thickBot="1" x14ac:dyDescent="0.3">
      <c r="B23" s="263" t="s">
        <v>290</v>
      </c>
      <c r="C23" s="138" t="s">
        <v>209</v>
      </c>
      <c r="D23" s="348">
        <v>0</v>
      </c>
      <c r="E23" s="348">
        <v>0</v>
      </c>
      <c r="F23" s="366"/>
      <c r="G23" s="432" t="s">
        <v>206</v>
      </c>
      <c r="H23" s="407">
        <v>0.05</v>
      </c>
      <c r="I23" s="407">
        <v>0.05</v>
      </c>
    </row>
    <row r="24" spans="2:9" ht="45" customHeight="1" thickBot="1" x14ac:dyDescent="0.3">
      <c r="B24" s="284" t="s">
        <v>291</v>
      </c>
      <c r="C24" s="279" t="s">
        <v>205</v>
      </c>
      <c r="D24" s="447">
        <v>0</v>
      </c>
      <c r="E24" s="447">
        <v>0</v>
      </c>
      <c r="F24" s="369"/>
      <c r="G24" s="433"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39">
        <f>SUM(D25:E25)</f>
        <v>0</v>
      </c>
      <c r="F27" s="659" t="s">
        <v>443</v>
      </c>
      <c r="G27" s="663"/>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MvAnLIKhXRHicGsISqFtNT6Ygd9o0cLsj4GyO4LfX3nQvbUdNRxRduFkrp5XPK0+Rzkafwnf0JEoxp1GCAnL/A==" saltValue="zy4Z5G6Hch5KICIAuaOnKg==" spinCount="100000" sheet="1" objects="1" scenarios="1" selectLockedCells="1"/>
  <mergeCells count="14">
    <mergeCell ref="B2:G2"/>
    <mergeCell ref="B4:G4"/>
    <mergeCell ref="F6:G6"/>
    <mergeCell ref="F8:G8"/>
    <mergeCell ref="C29:D29"/>
    <mergeCell ref="D11:E11"/>
    <mergeCell ref="B13:G14"/>
    <mergeCell ref="B15:B16"/>
    <mergeCell ref="C15:C16"/>
    <mergeCell ref="D15:D16"/>
    <mergeCell ref="E15:E16"/>
    <mergeCell ref="F15:F16"/>
    <mergeCell ref="G15:G16"/>
    <mergeCell ref="F27:G27"/>
  </mergeCells>
  <conditionalFormatting sqref="D17">
    <cfRule type="cellIs" dxfId="1400" priority="92" operator="lessThan">
      <formula>0%</formula>
    </cfRule>
    <cfRule type="cellIs" dxfId="1399" priority="93" operator="greaterThan">
      <formula>H17</formula>
    </cfRule>
    <cfRule type="cellIs" dxfId="1398" priority="94" operator="between">
      <formula>0%</formula>
      <formula>H17</formula>
    </cfRule>
  </conditionalFormatting>
  <conditionalFormatting sqref="E17">
    <cfRule type="cellIs" dxfId="1397" priority="43" operator="lessThan">
      <formula>0%</formula>
    </cfRule>
    <cfRule type="cellIs" dxfId="1396" priority="44" operator="greaterThan">
      <formula>I17</formula>
    </cfRule>
    <cfRule type="cellIs" dxfId="1395" priority="45" operator="between">
      <formula>0%</formula>
      <formula>I17</formula>
    </cfRule>
  </conditionalFormatting>
  <conditionalFormatting sqref="E18">
    <cfRule type="cellIs" dxfId="1394" priority="40" operator="lessThan">
      <formula>0%</formula>
    </cfRule>
    <cfRule type="cellIs" dxfId="1393" priority="41" operator="greaterThan">
      <formula>I18</formula>
    </cfRule>
    <cfRule type="cellIs" dxfId="1392" priority="42" operator="between">
      <formula>0%</formula>
      <formula>I18</formula>
    </cfRule>
  </conditionalFormatting>
  <conditionalFormatting sqref="D18">
    <cfRule type="cellIs" dxfId="1391" priority="37" operator="lessThan">
      <formula>0%</formula>
    </cfRule>
    <cfRule type="cellIs" dxfId="1390" priority="38" operator="greaterThan">
      <formula>H18</formula>
    </cfRule>
    <cfRule type="cellIs" dxfId="1389" priority="39" operator="between">
      <formula>0%</formula>
      <formula>H18</formula>
    </cfRule>
  </conditionalFormatting>
  <conditionalFormatting sqref="D19">
    <cfRule type="cellIs" dxfId="1388" priority="34" operator="lessThan">
      <formula>0%</formula>
    </cfRule>
    <cfRule type="cellIs" dxfId="1387" priority="35" operator="greaterThan">
      <formula>H19</formula>
    </cfRule>
    <cfRule type="cellIs" dxfId="1386" priority="36" operator="between">
      <formula>0%</formula>
      <formula>H19</formula>
    </cfRule>
  </conditionalFormatting>
  <conditionalFormatting sqref="E19">
    <cfRule type="cellIs" dxfId="1385" priority="31" operator="lessThan">
      <formula>0%</formula>
    </cfRule>
    <cfRule type="cellIs" dxfId="1384" priority="32" operator="greaterThan">
      <formula>I19</formula>
    </cfRule>
    <cfRule type="cellIs" dxfId="1383" priority="33" operator="between">
      <formula>0%</formula>
      <formula>I19</formula>
    </cfRule>
  </conditionalFormatting>
  <conditionalFormatting sqref="E20">
    <cfRule type="cellIs" dxfId="1382" priority="28" operator="lessThan">
      <formula>0%</formula>
    </cfRule>
    <cfRule type="cellIs" dxfId="1381" priority="29" operator="greaterThan">
      <formula>I20</formula>
    </cfRule>
    <cfRule type="cellIs" dxfId="1380" priority="30" operator="between">
      <formula>0%</formula>
      <formula>I20</formula>
    </cfRule>
  </conditionalFormatting>
  <conditionalFormatting sqref="D20">
    <cfRule type="cellIs" dxfId="1379" priority="25" operator="lessThan">
      <formula>0%</formula>
    </cfRule>
    <cfRule type="cellIs" dxfId="1378" priority="26" operator="greaterThan">
      <formula>H20</formula>
    </cfRule>
    <cfRule type="cellIs" dxfId="1377" priority="27" operator="between">
      <formula>0%</formula>
      <formula>H20</formula>
    </cfRule>
  </conditionalFormatting>
  <conditionalFormatting sqref="D21">
    <cfRule type="cellIs" dxfId="1376" priority="22" operator="lessThan">
      <formula>0%</formula>
    </cfRule>
    <cfRule type="cellIs" dxfId="1375" priority="23" operator="greaterThan">
      <formula>H21</formula>
    </cfRule>
    <cfRule type="cellIs" dxfId="1374" priority="24" operator="between">
      <formula>0%</formula>
      <formula>H21</formula>
    </cfRule>
  </conditionalFormatting>
  <conditionalFormatting sqref="E21">
    <cfRule type="cellIs" dxfId="1373" priority="19" operator="lessThan">
      <formula>0%</formula>
    </cfRule>
    <cfRule type="cellIs" dxfId="1372" priority="20" operator="greaterThan">
      <formula>I21</formula>
    </cfRule>
    <cfRule type="cellIs" dxfId="1371" priority="21" operator="between">
      <formula>0%</formula>
      <formula>I21</formula>
    </cfRule>
  </conditionalFormatting>
  <conditionalFormatting sqref="E22">
    <cfRule type="cellIs" dxfId="1370" priority="16" operator="lessThan">
      <formula>0%</formula>
    </cfRule>
    <cfRule type="cellIs" dxfId="1369" priority="17" operator="greaterThan">
      <formula>I22</formula>
    </cfRule>
    <cfRule type="cellIs" dxfId="1368" priority="18" operator="between">
      <formula>0%</formula>
      <formula>I22</formula>
    </cfRule>
  </conditionalFormatting>
  <conditionalFormatting sqref="D22">
    <cfRule type="cellIs" dxfId="1367" priority="13" operator="lessThan">
      <formula>0%</formula>
    </cfRule>
    <cfRule type="cellIs" dxfId="1366" priority="14" operator="greaterThan">
      <formula>H22</formula>
    </cfRule>
    <cfRule type="cellIs" dxfId="1365" priority="15" operator="between">
      <formula>0%</formula>
      <formula>H22</formula>
    </cfRule>
  </conditionalFormatting>
  <conditionalFormatting sqref="D23">
    <cfRule type="cellIs" dxfId="1364" priority="10" operator="lessThan">
      <formula>0%</formula>
    </cfRule>
    <cfRule type="cellIs" dxfId="1363" priority="11" operator="greaterThan">
      <formula>H23</formula>
    </cfRule>
    <cfRule type="cellIs" dxfId="1362" priority="12" operator="between">
      <formula>0%</formula>
      <formula>H23</formula>
    </cfRule>
  </conditionalFormatting>
  <conditionalFormatting sqref="E23">
    <cfRule type="cellIs" dxfId="1361" priority="7" operator="lessThan">
      <formula>0%</formula>
    </cfRule>
    <cfRule type="cellIs" dxfId="1360" priority="8" operator="greaterThan">
      <formula>I23</formula>
    </cfRule>
    <cfRule type="cellIs" dxfId="1359" priority="9" operator="between">
      <formula>0%</formula>
      <formula>I23</formula>
    </cfRule>
  </conditionalFormatting>
  <conditionalFormatting sqref="E24">
    <cfRule type="cellIs" dxfId="1358" priority="4" operator="lessThan">
      <formula>0%</formula>
    </cfRule>
    <cfRule type="cellIs" dxfId="1357" priority="5" operator="greaterThan">
      <formula>I24</formula>
    </cfRule>
    <cfRule type="cellIs" dxfId="1356" priority="6" operator="between">
      <formula>0%</formula>
      <formula>I24</formula>
    </cfRule>
  </conditionalFormatting>
  <conditionalFormatting sqref="D24">
    <cfRule type="cellIs" dxfId="1355" priority="1" operator="lessThan">
      <formula>0%</formula>
    </cfRule>
    <cfRule type="cellIs" dxfId="1354" priority="2" operator="greaterThan">
      <formula>H24</formula>
    </cfRule>
    <cfRule type="cellIs" dxfId="1353" priority="3"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91" operator="notBetween" id="{9CEA0033-3991-4693-8E9C-56F1EC215D66}">
            <xm:f>-1 * 'STATE CODES (NUM) &amp; MIN-MAX'!$E$13</xm:f>
            <xm:f>'STATE CODES (NUM) &amp; MIN-MAX'!$E$13</xm:f>
            <x14:dxf>
              <font>
                <color theme="5" tint="-0.499984740745262"/>
              </font>
              <fill>
                <patternFill>
                  <bgColor rgb="FFFFCCCC"/>
                </patternFill>
              </fill>
            </x14:dxf>
          </x14:cfRule>
          <xm:sqref>E27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8">
    <pageSetUpPr fitToPage="1"/>
  </sheetPr>
  <dimension ref="A2:I27"/>
  <sheetViews>
    <sheetView showGridLines="0" showRowColHeaders="0" topLeftCell="A7"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109</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94"/>
      <c r="E10" s="252" t="s">
        <v>323</v>
      </c>
      <c r="F10" s="283" t="str">
        <f>B4</f>
        <v>IDAHO</v>
      </c>
      <c r="G10" s="134"/>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78" t="s">
        <v>209</v>
      </c>
      <c r="D17" s="346">
        <v>0</v>
      </c>
      <c r="E17" s="346">
        <v>0</v>
      </c>
      <c r="F17" s="364"/>
      <c r="G17" s="431" t="s">
        <v>206</v>
      </c>
      <c r="H17" s="407">
        <v>0.05</v>
      </c>
      <c r="I17" s="407">
        <v>0.05</v>
      </c>
    </row>
    <row r="18" spans="2:9" ht="45" customHeight="1" thickBot="1" x14ac:dyDescent="0.3">
      <c r="B18" s="273" t="s">
        <v>207</v>
      </c>
      <c r="C18" s="137" t="s">
        <v>209</v>
      </c>
      <c r="D18" s="348">
        <v>0</v>
      </c>
      <c r="E18" s="348">
        <v>0</v>
      </c>
      <c r="F18" s="366"/>
      <c r="G18" s="432" t="s">
        <v>206</v>
      </c>
      <c r="H18" s="407">
        <v>0.05</v>
      </c>
      <c r="I18" s="407">
        <v>0.05</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209</v>
      </c>
      <c r="D20" s="348">
        <v>0</v>
      </c>
      <c r="E20" s="348">
        <v>0</v>
      </c>
      <c r="F20" s="366"/>
      <c r="G20" s="432" t="s">
        <v>206</v>
      </c>
      <c r="H20" s="407">
        <v>0.05</v>
      </c>
      <c r="I20" s="407">
        <v>0.05</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4" t="s">
        <v>289</v>
      </c>
      <c r="C22" s="279" t="s">
        <v>209</v>
      </c>
      <c r="D22" s="447">
        <v>0</v>
      </c>
      <c r="E22" s="447">
        <v>0</v>
      </c>
      <c r="F22" s="369"/>
      <c r="G22" s="433" t="s">
        <v>206</v>
      </c>
      <c r="H22" s="407">
        <v>0.05</v>
      </c>
      <c r="I22" s="407">
        <v>0.05</v>
      </c>
    </row>
    <row r="23" spans="2:9" ht="16.5" thickBot="1" x14ac:dyDescent="0.3">
      <c r="B23" s="92" t="s">
        <v>214</v>
      </c>
      <c r="C23" s="92"/>
      <c r="D23" s="282">
        <f>-1 * SUM(D17:D22)</f>
        <v>0</v>
      </c>
      <c r="E23" s="282">
        <f>SUM(E17:E22)</f>
        <v>0</v>
      </c>
      <c r="F23" s="93"/>
      <c r="G23" s="93"/>
    </row>
    <row r="24" spans="2:9" ht="15.75" x14ac:dyDescent="0.25">
      <c r="B24" s="92"/>
      <c r="C24" s="92"/>
      <c r="D24" s="93"/>
      <c r="E24" s="93"/>
      <c r="F24" s="93"/>
      <c r="G24" s="93"/>
    </row>
    <row r="25" spans="2:9" ht="16.5" thickBot="1" x14ac:dyDescent="0.3">
      <c r="B25" s="92"/>
      <c r="C25" s="251"/>
      <c r="D25" s="251" t="s">
        <v>287</v>
      </c>
      <c r="E25" s="439">
        <f>SUM(D23:E23)</f>
        <v>0</v>
      </c>
      <c r="F25" s="659" t="s">
        <v>443</v>
      </c>
      <c r="G25" s="663"/>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bPKu6HhD+eN9Z+uDOJytjaz5X6HQM9a28o+3sYlBMVmIU2JYTxugIz85Dj93hvjkTcB9IPXKwqMjwwwGv6335w==" saltValue="YJTyyMWsX9uoRfa4anSG/Q==" spinCount="100000" sheet="1" objects="1" scenarios="1" selectLockedCells="1"/>
  <mergeCells count="14">
    <mergeCell ref="B2:G2"/>
    <mergeCell ref="B4:G4"/>
    <mergeCell ref="F6:G6"/>
    <mergeCell ref="F8:G8"/>
    <mergeCell ref="C27:D27"/>
    <mergeCell ref="D11:E11"/>
    <mergeCell ref="B13:G14"/>
    <mergeCell ref="B15:B16"/>
    <mergeCell ref="C15:C16"/>
    <mergeCell ref="D15:D16"/>
    <mergeCell ref="E15:E16"/>
    <mergeCell ref="F15:F16"/>
    <mergeCell ref="G15:G16"/>
    <mergeCell ref="F25:G25"/>
  </mergeCells>
  <conditionalFormatting sqref="D17">
    <cfRule type="cellIs" dxfId="1351" priority="35" operator="lessThan">
      <formula>0%</formula>
    </cfRule>
    <cfRule type="cellIs" dxfId="1350" priority="36" operator="greaterThan">
      <formula>H17</formula>
    </cfRule>
    <cfRule type="cellIs" dxfId="1349" priority="37" operator="between">
      <formula>0%</formula>
      <formula>H17</formula>
    </cfRule>
  </conditionalFormatting>
  <conditionalFormatting sqref="E17">
    <cfRule type="cellIs" dxfId="1348" priority="31" operator="lessThan">
      <formula>0%</formula>
    </cfRule>
    <cfRule type="cellIs" dxfId="1347" priority="32" operator="greaterThan">
      <formula>I17</formula>
    </cfRule>
    <cfRule type="cellIs" dxfId="1346" priority="33" operator="between">
      <formula>0%</formula>
      <formula>I17</formula>
    </cfRule>
  </conditionalFormatting>
  <conditionalFormatting sqref="E18">
    <cfRule type="cellIs" dxfId="1345" priority="28" operator="lessThan">
      <formula>0%</formula>
    </cfRule>
    <cfRule type="cellIs" dxfId="1344" priority="29" operator="greaterThan">
      <formula>I18</formula>
    </cfRule>
    <cfRule type="cellIs" dxfId="1343" priority="30" operator="between">
      <formula>0%</formula>
      <formula>I18</formula>
    </cfRule>
  </conditionalFormatting>
  <conditionalFormatting sqref="D18">
    <cfRule type="cellIs" dxfId="1342" priority="25" operator="lessThan">
      <formula>0%</formula>
    </cfRule>
    <cfRule type="cellIs" dxfId="1341" priority="26" operator="greaterThan">
      <formula>H18</formula>
    </cfRule>
    <cfRule type="cellIs" dxfId="1340" priority="27" operator="between">
      <formula>0%</formula>
      <formula>H18</formula>
    </cfRule>
  </conditionalFormatting>
  <conditionalFormatting sqref="D19">
    <cfRule type="cellIs" dxfId="1339" priority="22" operator="lessThan">
      <formula>0%</formula>
    </cfRule>
    <cfRule type="cellIs" dxfId="1338" priority="23" operator="greaterThan">
      <formula>H19</formula>
    </cfRule>
    <cfRule type="cellIs" dxfId="1337" priority="24" operator="between">
      <formula>0%</formula>
      <formula>H19</formula>
    </cfRule>
  </conditionalFormatting>
  <conditionalFormatting sqref="E19">
    <cfRule type="cellIs" dxfId="1336" priority="19" operator="lessThan">
      <formula>0%</formula>
    </cfRule>
    <cfRule type="cellIs" dxfId="1335" priority="20" operator="greaterThan">
      <formula>I19</formula>
    </cfRule>
    <cfRule type="cellIs" dxfId="1334" priority="21" operator="between">
      <formula>0%</formula>
      <formula>I19</formula>
    </cfRule>
  </conditionalFormatting>
  <conditionalFormatting sqref="E20">
    <cfRule type="cellIs" dxfId="1333" priority="16" operator="lessThan">
      <formula>0%</formula>
    </cfRule>
    <cfRule type="cellIs" dxfId="1332" priority="17" operator="greaterThan">
      <formula>I20</formula>
    </cfRule>
    <cfRule type="cellIs" dxfId="1331" priority="18" operator="between">
      <formula>0%</formula>
      <formula>I20</formula>
    </cfRule>
  </conditionalFormatting>
  <conditionalFormatting sqref="D20">
    <cfRule type="cellIs" dxfId="1330" priority="13" operator="lessThan">
      <formula>0%</formula>
    </cfRule>
    <cfRule type="cellIs" dxfId="1329" priority="14" operator="greaterThan">
      <formula>H20</formula>
    </cfRule>
    <cfRule type="cellIs" dxfId="1328" priority="15" operator="between">
      <formula>0%</formula>
      <formula>H20</formula>
    </cfRule>
  </conditionalFormatting>
  <conditionalFormatting sqref="D21">
    <cfRule type="cellIs" dxfId="1327" priority="10" operator="lessThan">
      <formula>0%</formula>
    </cfRule>
    <cfRule type="cellIs" dxfId="1326" priority="11" operator="greaterThan">
      <formula>H21</formula>
    </cfRule>
    <cfRule type="cellIs" dxfId="1325" priority="12" operator="between">
      <formula>0%</formula>
      <formula>H21</formula>
    </cfRule>
  </conditionalFormatting>
  <conditionalFormatting sqref="E21">
    <cfRule type="cellIs" dxfId="1324" priority="7" operator="lessThan">
      <formula>0%</formula>
    </cfRule>
    <cfRule type="cellIs" dxfId="1323" priority="8" operator="greaterThan">
      <formula>I21</formula>
    </cfRule>
    <cfRule type="cellIs" dxfId="1322" priority="9" operator="between">
      <formula>0%</formula>
      <formula>I21</formula>
    </cfRule>
  </conditionalFormatting>
  <conditionalFormatting sqref="E22">
    <cfRule type="cellIs" dxfId="1321" priority="4" operator="lessThan">
      <formula>0%</formula>
    </cfRule>
    <cfRule type="cellIs" dxfId="1320" priority="5" operator="greaterThan">
      <formula>I22</formula>
    </cfRule>
    <cfRule type="cellIs" dxfId="1319" priority="6" operator="between">
      <formula>0%</formula>
      <formula>I22</formula>
    </cfRule>
  </conditionalFormatting>
  <conditionalFormatting sqref="D22">
    <cfRule type="cellIs" dxfId="1318" priority="1" operator="lessThan">
      <formula>0%</formula>
    </cfRule>
    <cfRule type="cellIs" dxfId="1317" priority="2" operator="greaterThan">
      <formula>H22</formula>
    </cfRule>
    <cfRule type="cellIs" dxfId="1316" priority="3"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E9581718-ACCA-4BD5-AF9E-1CF08D80B160}">
            <xm:f>-1 * 'STATE CODES (NUM) &amp; MIN-MAX'!$E$15</xm:f>
            <xm:f>'STATE CODES (NUM) &amp; MIN-MAX'!$E$15</xm:f>
            <x14:dxf>
              <font>
                <color theme="5" tint="-0.499984740745262"/>
              </font>
              <fill>
                <patternFill>
                  <bgColor rgb="FFFFCCCC"/>
                </patternFill>
              </fill>
            </x14:dxf>
          </x14:cfRule>
          <xm:sqref>E25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0">
    <pageSetUpPr fitToPage="1"/>
  </sheetPr>
  <dimension ref="A2:I27"/>
  <sheetViews>
    <sheetView showGridLines="0" showRowColHeaders="0" topLeftCell="A6"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110</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252"/>
      <c r="E10" s="252" t="s">
        <v>299</v>
      </c>
      <c r="F10" s="132" t="s">
        <v>110</v>
      </c>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298</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63" t="s">
        <v>204</v>
      </c>
      <c r="C17" s="285" t="s">
        <v>205</v>
      </c>
      <c r="D17" s="346">
        <v>0</v>
      </c>
      <c r="E17" s="346">
        <v>0</v>
      </c>
      <c r="F17" s="364"/>
      <c r="G17" s="431" t="s">
        <v>206</v>
      </c>
      <c r="H17" s="407">
        <v>0.1</v>
      </c>
      <c r="I17" s="407">
        <v>0.1</v>
      </c>
    </row>
    <row r="18" spans="2:9" ht="45" customHeight="1" thickBot="1" x14ac:dyDescent="0.3">
      <c r="B18" s="263" t="s">
        <v>207</v>
      </c>
      <c r="C18" s="140" t="s">
        <v>225</v>
      </c>
      <c r="D18" s="348">
        <v>0</v>
      </c>
      <c r="E18" s="348">
        <v>0</v>
      </c>
      <c r="F18" s="366"/>
      <c r="G18" s="432" t="s">
        <v>206</v>
      </c>
      <c r="H18" s="407">
        <v>0.2</v>
      </c>
      <c r="I18" s="407">
        <v>0.2</v>
      </c>
    </row>
    <row r="19" spans="2:9" ht="45" customHeight="1" thickBot="1" x14ac:dyDescent="0.3">
      <c r="B19" s="263" t="s">
        <v>208</v>
      </c>
      <c r="C19" s="140" t="s">
        <v>205</v>
      </c>
      <c r="D19" s="348">
        <v>0</v>
      </c>
      <c r="E19" s="348">
        <v>0</v>
      </c>
      <c r="F19" s="366"/>
      <c r="G19" s="432" t="s">
        <v>206</v>
      </c>
      <c r="H19" s="407">
        <v>0.1</v>
      </c>
      <c r="I19" s="407">
        <v>0.1</v>
      </c>
    </row>
    <row r="20" spans="2:9" ht="45" customHeight="1" thickBot="1" x14ac:dyDescent="0.3">
      <c r="B20" s="263" t="s">
        <v>288</v>
      </c>
      <c r="C20" s="140" t="s">
        <v>205</v>
      </c>
      <c r="D20" s="348">
        <v>0</v>
      </c>
      <c r="E20" s="348">
        <v>0</v>
      </c>
      <c r="F20" s="366"/>
      <c r="G20" s="432" t="s">
        <v>206</v>
      </c>
      <c r="H20" s="407">
        <v>0.1</v>
      </c>
      <c r="I20" s="407">
        <v>0.1</v>
      </c>
    </row>
    <row r="21" spans="2:9" ht="45" customHeight="1" thickBot="1" x14ac:dyDescent="0.3">
      <c r="B21" s="263" t="s">
        <v>210</v>
      </c>
      <c r="C21" s="140" t="s">
        <v>205</v>
      </c>
      <c r="D21" s="348">
        <v>0</v>
      </c>
      <c r="E21" s="348">
        <v>0</v>
      </c>
      <c r="F21" s="366"/>
      <c r="G21" s="432" t="s">
        <v>206</v>
      </c>
      <c r="H21" s="407">
        <v>0.1</v>
      </c>
      <c r="I21" s="407">
        <v>0.1</v>
      </c>
    </row>
    <row r="22" spans="2:9" ht="45" customHeight="1" thickBot="1" x14ac:dyDescent="0.3">
      <c r="B22" s="98" t="s">
        <v>289</v>
      </c>
      <c r="C22" s="286" t="s">
        <v>205</v>
      </c>
      <c r="D22" s="447">
        <v>0</v>
      </c>
      <c r="E22" s="447">
        <v>0</v>
      </c>
      <c r="F22" s="369"/>
      <c r="G22" s="433" t="s">
        <v>206</v>
      </c>
      <c r="H22" s="407">
        <v>0.1</v>
      </c>
      <c r="I22" s="407">
        <v>0.1</v>
      </c>
    </row>
    <row r="23" spans="2:9" ht="16.5" thickBot="1" x14ac:dyDescent="0.3">
      <c r="B23" s="92" t="s">
        <v>214</v>
      </c>
      <c r="C23" s="92"/>
      <c r="D23" s="282">
        <f>-1 * SUM(D17:D22)</f>
        <v>0</v>
      </c>
      <c r="E23" s="282">
        <f>SUM(E17:E22)</f>
        <v>0</v>
      </c>
      <c r="F23" s="93"/>
      <c r="G23" s="93"/>
    </row>
    <row r="24" spans="2:9" ht="15.75" x14ac:dyDescent="0.25">
      <c r="B24" s="92"/>
      <c r="C24" s="92"/>
      <c r="D24" s="93"/>
      <c r="E24" s="93"/>
      <c r="F24" s="93"/>
      <c r="G24" s="93"/>
    </row>
    <row r="25" spans="2:9" ht="16.5" thickBot="1" x14ac:dyDescent="0.3">
      <c r="B25" s="92"/>
      <c r="C25" s="251"/>
      <c r="D25" s="251" t="s">
        <v>287</v>
      </c>
      <c r="E25" s="439">
        <f>SUM(D23:E23)</f>
        <v>0</v>
      </c>
      <c r="F25" s="659" t="s">
        <v>443</v>
      </c>
      <c r="G25" s="663"/>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bXiqU36IjkZPbYM0T42jEl+e/aNBgBcQdWpeFAvGmaxK/gMhN8hieWCxBHbmww1RQx6sSyteY2wU+Ep843bmJA==" saltValue="iZb3NST9ozM7VoajOwBwZA==" spinCount="100000" sheet="1" objects="1" scenarios="1" selectLockedCells="1"/>
  <mergeCells count="13">
    <mergeCell ref="B2:G2"/>
    <mergeCell ref="B4:G4"/>
    <mergeCell ref="F8:G8"/>
    <mergeCell ref="F6:G6"/>
    <mergeCell ref="C27:D27"/>
    <mergeCell ref="B13:G14"/>
    <mergeCell ref="B15:B16"/>
    <mergeCell ref="C15:C16"/>
    <mergeCell ref="D15:D16"/>
    <mergeCell ref="E15:E16"/>
    <mergeCell ref="F15:F16"/>
    <mergeCell ref="G15:G16"/>
    <mergeCell ref="F25:G25"/>
  </mergeCells>
  <conditionalFormatting sqref="D17">
    <cfRule type="cellIs" dxfId="1314" priority="35" operator="lessThan">
      <formula>0%</formula>
    </cfRule>
    <cfRule type="cellIs" dxfId="1313" priority="36" operator="greaterThan">
      <formula>H17</formula>
    </cfRule>
    <cfRule type="cellIs" dxfId="1312" priority="37" operator="between">
      <formula>0%</formula>
      <formula>H17</formula>
    </cfRule>
  </conditionalFormatting>
  <conditionalFormatting sqref="E17">
    <cfRule type="cellIs" dxfId="1311" priority="31" operator="lessThan">
      <formula>0%</formula>
    </cfRule>
    <cfRule type="cellIs" dxfId="1310" priority="32" operator="greaterThan">
      <formula>I17</formula>
    </cfRule>
    <cfRule type="cellIs" dxfId="1309" priority="33" operator="between">
      <formula>0%</formula>
      <formula>I17</formula>
    </cfRule>
  </conditionalFormatting>
  <conditionalFormatting sqref="E18">
    <cfRule type="cellIs" dxfId="1308" priority="28" operator="lessThan">
      <formula>0%</formula>
    </cfRule>
    <cfRule type="cellIs" dxfId="1307" priority="29" operator="greaterThan">
      <formula>I18</formula>
    </cfRule>
    <cfRule type="cellIs" dxfId="1306" priority="30" operator="between">
      <formula>0%</formula>
      <formula>I18</formula>
    </cfRule>
  </conditionalFormatting>
  <conditionalFormatting sqref="D18">
    <cfRule type="cellIs" dxfId="1305" priority="25" operator="lessThan">
      <formula>0%</formula>
    </cfRule>
    <cfRule type="cellIs" dxfId="1304" priority="26" operator="greaterThan">
      <formula>H18</formula>
    </cfRule>
    <cfRule type="cellIs" dxfId="1303" priority="27" operator="between">
      <formula>0%</formula>
      <formula>H18</formula>
    </cfRule>
  </conditionalFormatting>
  <conditionalFormatting sqref="D19">
    <cfRule type="cellIs" dxfId="1302" priority="22" operator="lessThan">
      <formula>0%</formula>
    </cfRule>
    <cfRule type="cellIs" dxfId="1301" priority="23" operator="greaterThan">
      <formula>H19</formula>
    </cfRule>
    <cfRule type="cellIs" dxfId="1300" priority="24" operator="between">
      <formula>0%</formula>
      <formula>H19</formula>
    </cfRule>
  </conditionalFormatting>
  <conditionalFormatting sqref="E19">
    <cfRule type="cellIs" dxfId="1299" priority="19" operator="lessThan">
      <formula>0%</formula>
    </cfRule>
    <cfRule type="cellIs" dxfId="1298" priority="20" operator="greaterThan">
      <formula>I19</formula>
    </cfRule>
    <cfRule type="cellIs" dxfId="1297" priority="21" operator="between">
      <formula>0%</formula>
      <formula>I19</formula>
    </cfRule>
  </conditionalFormatting>
  <conditionalFormatting sqref="E20">
    <cfRule type="cellIs" dxfId="1296" priority="16" operator="lessThan">
      <formula>0%</formula>
    </cfRule>
    <cfRule type="cellIs" dxfId="1295" priority="17" operator="greaterThan">
      <formula>I20</formula>
    </cfRule>
    <cfRule type="cellIs" dxfId="1294" priority="18" operator="between">
      <formula>0%</formula>
      <formula>I20</formula>
    </cfRule>
  </conditionalFormatting>
  <conditionalFormatting sqref="D20">
    <cfRule type="cellIs" dxfId="1293" priority="13" operator="lessThan">
      <formula>0%</formula>
    </cfRule>
    <cfRule type="cellIs" dxfId="1292" priority="14" operator="greaterThan">
      <formula>H20</formula>
    </cfRule>
    <cfRule type="cellIs" dxfId="1291" priority="15" operator="between">
      <formula>0%</formula>
      <formula>H20</formula>
    </cfRule>
  </conditionalFormatting>
  <conditionalFormatting sqref="D21">
    <cfRule type="cellIs" dxfId="1290" priority="10" operator="lessThan">
      <formula>0%</formula>
    </cfRule>
    <cfRule type="cellIs" dxfId="1289" priority="11" operator="greaterThan">
      <formula>H21</formula>
    </cfRule>
    <cfRule type="cellIs" dxfId="1288" priority="12" operator="between">
      <formula>0%</formula>
      <formula>H21</formula>
    </cfRule>
  </conditionalFormatting>
  <conditionalFormatting sqref="E21">
    <cfRule type="cellIs" dxfId="1287" priority="7" operator="lessThan">
      <formula>0%</formula>
    </cfRule>
    <cfRule type="cellIs" dxfId="1286" priority="8" operator="greaterThan">
      <formula>I21</formula>
    </cfRule>
    <cfRule type="cellIs" dxfId="1285" priority="9" operator="between">
      <formula>0%</formula>
      <formula>I21</formula>
    </cfRule>
  </conditionalFormatting>
  <conditionalFormatting sqref="E22">
    <cfRule type="cellIs" dxfId="1284" priority="4" operator="lessThan">
      <formula>0%</formula>
    </cfRule>
    <cfRule type="cellIs" dxfId="1283" priority="5" operator="greaterThan">
      <formula>I22</formula>
    </cfRule>
    <cfRule type="cellIs" dxfId="1282" priority="6" operator="between">
      <formula>0%</formula>
      <formula>I22</formula>
    </cfRule>
  </conditionalFormatting>
  <conditionalFormatting sqref="D22">
    <cfRule type="cellIs" dxfId="1281" priority="1" operator="lessThan">
      <formula>0%</formula>
    </cfRule>
    <cfRule type="cellIs" dxfId="1280" priority="2" operator="greaterThan">
      <formula>H22</formula>
    </cfRule>
    <cfRule type="cellIs" dxfId="1279" priority="3"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44E08D3D-A25D-4FC5-B928-9A3E71AC0065}">
            <xm:f>-1 * 'STATE CODES (NUM) &amp; MIN-MAX'!$E$16</xm:f>
            <xm:f>'STATE CODES (NUM) &amp; MIN-MAX'!$E$16</xm:f>
            <x14:dxf>
              <font>
                <color theme="5" tint="-0.499984740745262"/>
              </font>
              <fill>
                <patternFill>
                  <bgColor rgb="FFFFCCCC"/>
                </patternFill>
              </fill>
            </x14:dxf>
          </x14:cfRule>
          <xm:sqref>E25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pageSetUpPr fitToPage="1"/>
  </sheetPr>
  <dimension ref="A2:I29"/>
  <sheetViews>
    <sheetView showGridLines="0" showRowColHeaders="0" topLeftCell="A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111</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2"/>
      <c r="H9" s="22"/>
    </row>
    <row r="10" spans="1:8" ht="15.75" x14ac:dyDescent="0.25">
      <c r="B10" s="252" t="s">
        <v>196</v>
      </c>
      <c r="C10" s="242" t="str">
        <f>'Additional Info'!F2</f>
        <v>Praetorian Insurance - 3501</v>
      </c>
      <c r="D10" s="252"/>
      <c r="E10" s="252" t="s">
        <v>299</v>
      </c>
      <c r="F10" s="132" t="str">
        <f>B4</f>
        <v>INDIANA</v>
      </c>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298</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5" t="s">
        <v>204</v>
      </c>
      <c r="C17" s="285" t="s">
        <v>205</v>
      </c>
      <c r="D17" s="346">
        <v>0</v>
      </c>
      <c r="E17" s="346">
        <v>0</v>
      </c>
      <c r="F17" s="364"/>
      <c r="G17" s="431" t="s">
        <v>206</v>
      </c>
      <c r="H17" s="407">
        <v>0.1</v>
      </c>
      <c r="I17" s="407">
        <v>0.1</v>
      </c>
    </row>
    <row r="18" spans="2:9" ht="45" customHeight="1" thickBot="1" x14ac:dyDescent="0.3">
      <c r="B18" s="275" t="s">
        <v>207</v>
      </c>
      <c r="C18" s="140" t="s">
        <v>205</v>
      </c>
      <c r="D18" s="348">
        <v>0</v>
      </c>
      <c r="E18" s="348">
        <v>0</v>
      </c>
      <c r="F18" s="366"/>
      <c r="G18" s="432" t="s">
        <v>206</v>
      </c>
      <c r="H18" s="407">
        <v>0.1</v>
      </c>
      <c r="I18" s="407">
        <v>0.1</v>
      </c>
    </row>
    <row r="19" spans="2:9" ht="45" customHeight="1" thickBot="1" x14ac:dyDescent="0.3">
      <c r="B19" s="275" t="s">
        <v>208</v>
      </c>
      <c r="C19" s="140" t="s">
        <v>205</v>
      </c>
      <c r="D19" s="348">
        <v>0</v>
      </c>
      <c r="E19" s="348">
        <v>0</v>
      </c>
      <c r="F19" s="366"/>
      <c r="G19" s="432" t="s">
        <v>206</v>
      </c>
      <c r="H19" s="407">
        <v>0.1</v>
      </c>
      <c r="I19" s="407">
        <v>0.1</v>
      </c>
    </row>
    <row r="20" spans="2:9" ht="45" customHeight="1" thickBot="1" x14ac:dyDescent="0.3">
      <c r="B20" s="275" t="s">
        <v>288</v>
      </c>
      <c r="C20" s="140" t="s">
        <v>205</v>
      </c>
      <c r="D20" s="348">
        <v>0</v>
      </c>
      <c r="E20" s="348">
        <v>0</v>
      </c>
      <c r="F20" s="366"/>
      <c r="G20" s="432" t="s">
        <v>206</v>
      </c>
      <c r="H20" s="407">
        <v>0.1</v>
      </c>
      <c r="I20" s="407">
        <v>0.1</v>
      </c>
    </row>
    <row r="21" spans="2:9" ht="45" customHeight="1" thickBot="1" x14ac:dyDescent="0.3">
      <c r="B21" s="275" t="s">
        <v>210</v>
      </c>
      <c r="C21" s="140" t="s">
        <v>205</v>
      </c>
      <c r="D21" s="348">
        <v>0</v>
      </c>
      <c r="E21" s="348">
        <v>0</v>
      </c>
      <c r="F21" s="366"/>
      <c r="G21" s="432" t="s">
        <v>206</v>
      </c>
      <c r="H21" s="407">
        <v>0.1</v>
      </c>
      <c r="I21" s="407">
        <v>0.1</v>
      </c>
    </row>
    <row r="22" spans="2:9" ht="45" customHeight="1" thickBot="1" x14ac:dyDescent="0.3">
      <c r="B22" s="276" t="s">
        <v>289</v>
      </c>
      <c r="C22" s="140" t="s">
        <v>209</v>
      </c>
      <c r="D22" s="348">
        <v>0</v>
      </c>
      <c r="E22" s="348">
        <v>0</v>
      </c>
      <c r="F22" s="366"/>
      <c r="G22" s="432" t="s">
        <v>206</v>
      </c>
      <c r="H22" s="407">
        <v>0.05</v>
      </c>
      <c r="I22" s="407">
        <v>0.05</v>
      </c>
    </row>
    <row r="23" spans="2:9" ht="45" customHeight="1" thickBot="1" x14ac:dyDescent="0.3">
      <c r="B23" s="277" t="s">
        <v>213</v>
      </c>
      <c r="C23" s="140" t="s">
        <v>209</v>
      </c>
      <c r="D23" s="348">
        <v>0</v>
      </c>
      <c r="E23" s="348">
        <v>0</v>
      </c>
      <c r="F23" s="366"/>
      <c r="G23" s="432" t="s">
        <v>206</v>
      </c>
      <c r="H23" s="407">
        <v>0.05</v>
      </c>
      <c r="I23" s="407">
        <v>0.05</v>
      </c>
    </row>
    <row r="24" spans="2:9" ht="45" customHeight="1" thickBot="1" x14ac:dyDescent="0.3">
      <c r="B24" s="277" t="s">
        <v>300</v>
      </c>
      <c r="C24" s="286" t="s">
        <v>209</v>
      </c>
      <c r="D24" s="447">
        <v>0</v>
      </c>
      <c r="E24" s="447">
        <v>0</v>
      </c>
      <c r="F24" s="367"/>
      <c r="G24" s="433" t="s">
        <v>206</v>
      </c>
      <c r="H24" s="407">
        <v>0.05</v>
      </c>
      <c r="I24" s="407">
        <v>0.05</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39">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BNUmk/ow/deQnrn4zURuALXiOwsh3v796kN2yLNV7BR5pnjOscFeXWvFBBBBLBZXRmyQ70XAmQt/NCfXNH9VCA==" saltValue="pZxb1Up6sN1GOZOJbQ3WkQ==" spinCount="100000" sheet="1" objects="1" scenarios="1" selectLockedCells="1"/>
  <mergeCells count="13">
    <mergeCell ref="F8:G8"/>
    <mergeCell ref="B2:G2"/>
    <mergeCell ref="B4:G4"/>
    <mergeCell ref="F6:G6"/>
    <mergeCell ref="C29:D29"/>
    <mergeCell ref="B13:G14"/>
    <mergeCell ref="B15:B16"/>
    <mergeCell ref="C15:C16"/>
    <mergeCell ref="D15:D16"/>
    <mergeCell ref="E15:E16"/>
    <mergeCell ref="F15:F16"/>
    <mergeCell ref="G15:G16"/>
    <mergeCell ref="F27:G27"/>
  </mergeCells>
  <conditionalFormatting sqref="D17">
    <cfRule type="cellIs" dxfId="1277" priority="47" operator="lessThan">
      <formula>0%</formula>
    </cfRule>
    <cfRule type="cellIs" dxfId="1276" priority="48" operator="greaterThan">
      <formula>H17</formula>
    </cfRule>
    <cfRule type="cellIs" dxfId="1275" priority="49" operator="between">
      <formula>0%</formula>
      <formula>H17</formula>
    </cfRule>
  </conditionalFormatting>
  <conditionalFormatting sqref="E17">
    <cfRule type="cellIs" dxfId="1274" priority="43" operator="lessThan">
      <formula>0%</formula>
    </cfRule>
    <cfRule type="cellIs" dxfId="1273" priority="44" operator="greaterThan">
      <formula>I17</formula>
    </cfRule>
    <cfRule type="cellIs" dxfId="1272" priority="45" operator="between">
      <formula>0%</formula>
      <formula>I17</formula>
    </cfRule>
  </conditionalFormatting>
  <conditionalFormatting sqref="E18">
    <cfRule type="cellIs" dxfId="1271" priority="40" operator="lessThan">
      <formula>0%</formula>
    </cfRule>
    <cfRule type="cellIs" dxfId="1270" priority="41" operator="greaterThan">
      <formula>I18</formula>
    </cfRule>
    <cfRule type="cellIs" dxfId="1269" priority="42" operator="between">
      <formula>0%</formula>
      <formula>I18</formula>
    </cfRule>
  </conditionalFormatting>
  <conditionalFormatting sqref="D18">
    <cfRule type="cellIs" dxfId="1268" priority="37" operator="lessThan">
      <formula>0%</formula>
    </cfRule>
    <cfRule type="cellIs" dxfId="1267" priority="38" operator="greaterThan">
      <formula>H18</formula>
    </cfRule>
    <cfRule type="cellIs" dxfId="1266" priority="39" operator="between">
      <formula>0%</formula>
      <formula>H18</formula>
    </cfRule>
  </conditionalFormatting>
  <conditionalFormatting sqref="D19">
    <cfRule type="cellIs" dxfId="1265" priority="34" operator="lessThan">
      <formula>0%</formula>
    </cfRule>
    <cfRule type="cellIs" dxfId="1264" priority="35" operator="greaterThan">
      <formula>H19</formula>
    </cfRule>
    <cfRule type="cellIs" dxfId="1263" priority="36" operator="between">
      <formula>0%</formula>
      <formula>H19</formula>
    </cfRule>
  </conditionalFormatting>
  <conditionalFormatting sqref="E19">
    <cfRule type="cellIs" dxfId="1262" priority="31" operator="lessThan">
      <formula>0%</formula>
    </cfRule>
    <cfRule type="cellIs" dxfId="1261" priority="32" operator="greaterThan">
      <formula>I19</formula>
    </cfRule>
    <cfRule type="cellIs" dxfId="1260" priority="33" operator="between">
      <formula>0%</formula>
      <formula>I19</formula>
    </cfRule>
  </conditionalFormatting>
  <conditionalFormatting sqref="E20">
    <cfRule type="cellIs" dxfId="1259" priority="28" operator="lessThan">
      <formula>0%</formula>
    </cfRule>
    <cfRule type="cellIs" dxfId="1258" priority="29" operator="greaterThan">
      <formula>I20</formula>
    </cfRule>
    <cfRule type="cellIs" dxfId="1257" priority="30" operator="between">
      <formula>0%</formula>
      <formula>I20</formula>
    </cfRule>
  </conditionalFormatting>
  <conditionalFormatting sqref="D20">
    <cfRule type="cellIs" dxfId="1256" priority="25" operator="lessThan">
      <formula>0%</formula>
    </cfRule>
    <cfRule type="cellIs" dxfId="1255" priority="26" operator="greaterThan">
      <formula>H20</formula>
    </cfRule>
    <cfRule type="cellIs" dxfId="1254" priority="27" operator="between">
      <formula>0%</formula>
      <formula>H20</formula>
    </cfRule>
  </conditionalFormatting>
  <conditionalFormatting sqref="D21">
    <cfRule type="cellIs" dxfId="1253" priority="22" operator="lessThan">
      <formula>0%</formula>
    </cfRule>
    <cfRule type="cellIs" dxfId="1252" priority="23" operator="greaterThan">
      <formula>H21</formula>
    </cfRule>
    <cfRule type="cellIs" dxfId="1251" priority="24" operator="between">
      <formula>0%</formula>
      <formula>H21</formula>
    </cfRule>
  </conditionalFormatting>
  <conditionalFormatting sqref="E21">
    <cfRule type="cellIs" dxfId="1250" priority="19" operator="lessThan">
      <formula>0%</formula>
    </cfRule>
    <cfRule type="cellIs" dxfId="1249" priority="20" operator="greaterThan">
      <formula>I21</formula>
    </cfRule>
    <cfRule type="cellIs" dxfId="1248" priority="21" operator="between">
      <formula>0%</formula>
      <formula>I21</formula>
    </cfRule>
  </conditionalFormatting>
  <conditionalFormatting sqref="E22">
    <cfRule type="cellIs" dxfId="1247" priority="16" operator="lessThan">
      <formula>0%</formula>
    </cfRule>
    <cfRule type="cellIs" dxfId="1246" priority="17" operator="greaterThan">
      <formula>I22</formula>
    </cfRule>
    <cfRule type="cellIs" dxfId="1245" priority="18" operator="between">
      <formula>0%</formula>
      <formula>I22</formula>
    </cfRule>
  </conditionalFormatting>
  <conditionalFormatting sqref="D22">
    <cfRule type="cellIs" dxfId="1244" priority="13" operator="lessThan">
      <formula>0%</formula>
    </cfRule>
    <cfRule type="cellIs" dxfId="1243" priority="14" operator="greaterThan">
      <formula>H22</formula>
    </cfRule>
    <cfRule type="cellIs" dxfId="1242" priority="15" operator="between">
      <formula>0%</formula>
      <formula>H22</formula>
    </cfRule>
  </conditionalFormatting>
  <conditionalFormatting sqref="D23">
    <cfRule type="cellIs" dxfId="1241" priority="10" operator="lessThan">
      <formula>0%</formula>
    </cfRule>
    <cfRule type="cellIs" dxfId="1240" priority="11" operator="greaterThan">
      <formula>H23</formula>
    </cfRule>
    <cfRule type="cellIs" dxfId="1239" priority="12" operator="between">
      <formula>0%</formula>
      <formula>H23</formula>
    </cfRule>
  </conditionalFormatting>
  <conditionalFormatting sqref="E23">
    <cfRule type="cellIs" dxfId="1238" priority="7" operator="lessThan">
      <formula>0%</formula>
    </cfRule>
    <cfRule type="cellIs" dxfId="1237" priority="8" operator="greaterThan">
      <formula>I23</formula>
    </cfRule>
    <cfRule type="cellIs" dxfId="1236" priority="9" operator="between">
      <formula>0%</formula>
      <formula>I23</formula>
    </cfRule>
  </conditionalFormatting>
  <conditionalFormatting sqref="E24">
    <cfRule type="cellIs" dxfId="1235" priority="4" operator="lessThan">
      <formula>0%</formula>
    </cfRule>
    <cfRule type="cellIs" dxfId="1234" priority="5" operator="greaterThan">
      <formula>I24</formula>
    </cfRule>
    <cfRule type="cellIs" dxfId="1233" priority="6" operator="between">
      <formula>0%</formula>
      <formula>I24</formula>
    </cfRule>
  </conditionalFormatting>
  <conditionalFormatting sqref="D24">
    <cfRule type="cellIs" dxfId="1232" priority="1" operator="lessThan">
      <formula>0%</formula>
    </cfRule>
    <cfRule type="cellIs" dxfId="1231" priority="2" operator="greaterThan">
      <formula>H24</formula>
    </cfRule>
    <cfRule type="cellIs" dxfId="1230" priority="3"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6" operator="notBetween" id="{244E84CE-FA84-4921-BE1B-CC46D1406624}">
            <xm:f>-1 * 'STATE CODES (NUM) &amp; MIN-MAX'!$E$17</xm:f>
            <xm:f>'STATE CODES (NUM) &amp; MIN-MAX'!$E$17</xm:f>
            <x14:dxf>
              <font>
                <color theme="5" tint="-0.499984740745262"/>
              </font>
              <fill>
                <patternFill>
                  <bgColor rgb="FFFFCCCC"/>
                </patternFill>
              </fill>
            </x14:dxf>
          </x14:cfRule>
          <xm:sqref>E27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9">
    <pageSetUpPr fitToPage="1"/>
  </sheetPr>
  <dimension ref="A2:I28"/>
  <sheetViews>
    <sheetView showGridLines="0" showRowColHeaders="0" topLeftCell="A1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112</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87"/>
      <c r="H9" s="22"/>
    </row>
    <row r="10" spans="1:8" ht="15.75" x14ac:dyDescent="0.25">
      <c r="B10" s="252" t="s">
        <v>196</v>
      </c>
      <c r="C10" s="242" t="str">
        <f>'Additional Info'!F2</f>
        <v>Praetorian Insurance - 3501</v>
      </c>
      <c r="D10" s="94"/>
      <c r="E10" s="252" t="s">
        <v>323</v>
      </c>
      <c r="F10" s="283" t="s">
        <v>112</v>
      </c>
      <c r="G10" s="134"/>
    </row>
    <row r="11" spans="1:8" ht="24" customHeight="1" x14ac:dyDescent="0.25">
      <c r="B11" s="252" t="s">
        <v>197</v>
      </c>
      <c r="C11" s="96">
        <f>VLOOKUP(C10,'STATE CODES (NUM) &amp; MIN-MAX'!B56:D58,3,FALSE)</f>
        <v>21172</v>
      </c>
      <c r="D11" s="101"/>
      <c r="E11" s="252"/>
      <c r="G11" s="93"/>
    </row>
    <row r="12" spans="1:8" ht="15.75" x14ac:dyDescent="0.25">
      <c r="B12" s="252"/>
      <c r="C12" s="97"/>
      <c r="D12" s="240"/>
      <c r="E12" s="240"/>
      <c r="F12" s="93"/>
      <c r="G12" s="93"/>
    </row>
    <row r="13" spans="1:8" x14ac:dyDescent="0.25">
      <c r="B13" s="499" t="s">
        <v>379</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78" t="s">
        <v>209</v>
      </c>
      <c r="D17" s="346">
        <v>0</v>
      </c>
      <c r="E17" s="346">
        <v>0</v>
      </c>
      <c r="F17" s="364"/>
      <c r="G17" s="431" t="s">
        <v>206</v>
      </c>
      <c r="H17" s="407">
        <v>0.05</v>
      </c>
      <c r="I17" s="407">
        <v>0.05</v>
      </c>
    </row>
    <row r="18" spans="2:9" ht="45" customHeight="1" thickBot="1" x14ac:dyDescent="0.3">
      <c r="B18" s="273" t="s">
        <v>207</v>
      </c>
      <c r="C18" s="137" t="s">
        <v>209</v>
      </c>
      <c r="D18" s="348">
        <v>0</v>
      </c>
      <c r="E18" s="348">
        <v>0</v>
      </c>
      <c r="F18" s="366"/>
      <c r="G18" s="432" t="s">
        <v>206</v>
      </c>
      <c r="H18" s="407">
        <v>0.05</v>
      </c>
      <c r="I18" s="407">
        <v>0.05</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209</v>
      </c>
      <c r="D20" s="348">
        <v>0</v>
      </c>
      <c r="E20" s="348">
        <v>0</v>
      </c>
      <c r="F20" s="366"/>
      <c r="G20" s="432" t="s">
        <v>206</v>
      </c>
      <c r="H20" s="407">
        <v>0.05</v>
      </c>
      <c r="I20" s="407">
        <v>0.05</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3" t="s">
        <v>289</v>
      </c>
      <c r="C22" s="137" t="s">
        <v>209</v>
      </c>
      <c r="D22" s="348">
        <v>0</v>
      </c>
      <c r="E22" s="348">
        <v>0</v>
      </c>
      <c r="F22" s="366"/>
      <c r="G22" s="432" t="s">
        <v>206</v>
      </c>
      <c r="H22" s="407">
        <v>0.05</v>
      </c>
      <c r="I22" s="407">
        <v>0.05</v>
      </c>
    </row>
    <row r="23" spans="2:9" ht="45" customHeight="1" thickBot="1" x14ac:dyDescent="0.3">
      <c r="B23" s="274"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39">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c r="G28"/>
    </row>
  </sheetData>
  <sheetProtection algorithmName="SHA-512" hashValue="1XTSNNnf3r7KS3fYQKMPqThyNoiZr2YyNGk1M2JfUpb+Y3ozUdcEYCk+hw8T+yNuViyXzpJDxK1q7uoACrTaOw==" saltValue="Hq/Uf2X8kBdvNwgUfRYSZQ==" spinCount="100000" sheet="1" objects="1" scenarios="1" selectLockedCells="1"/>
  <mergeCells count="13">
    <mergeCell ref="F8:G8"/>
    <mergeCell ref="B2:G2"/>
    <mergeCell ref="B4:G4"/>
    <mergeCell ref="C28:D28"/>
    <mergeCell ref="B13:G14"/>
    <mergeCell ref="B15:B16"/>
    <mergeCell ref="C15:C16"/>
    <mergeCell ref="D15:D16"/>
    <mergeCell ref="E15:E16"/>
    <mergeCell ref="F15:F16"/>
    <mergeCell ref="G15:G16"/>
    <mergeCell ref="F6:G6"/>
    <mergeCell ref="F26:G26"/>
  </mergeCells>
  <conditionalFormatting sqref="D17">
    <cfRule type="cellIs" dxfId="1228" priority="41" operator="lessThan">
      <formula>0%</formula>
    </cfRule>
    <cfRule type="cellIs" dxfId="1227" priority="42" operator="greaterThan">
      <formula>H17</formula>
    </cfRule>
    <cfRule type="cellIs" dxfId="1226" priority="43" operator="between">
      <formula>0%</formula>
      <formula>H17</formula>
    </cfRule>
  </conditionalFormatting>
  <conditionalFormatting sqref="E17">
    <cfRule type="cellIs" dxfId="1225" priority="37" operator="lessThan">
      <formula>0%</formula>
    </cfRule>
    <cfRule type="cellIs" dxfId="1224" priority="38" operator="greaterThan">
      <formula>I17</formula>
    </cfRule>
    <cfRule type="cellIs" dxfId="1223" priority="39" operator="between">
      <formula>0%</formula>
      <formula>I17</formula>
    </cfRule>
  </conditionalFormatting>
  <conditionalFormatting sqref="E18">
    <cfRule type="cellIs" dxfId="1222" priority="34" operator="lessThan">
      <formula>0%</formula>
    </cfRule>
    <cfRule type="cellIs" dxfId="1221" priority="35" operator="greaterThan">
      <formula>I18</formula>
    </cfRule>
    <cfRule type="cellIs" dxfId="1220" priority="36" operator="between">
      <formula>0%</formula>
      <formula>I18</formula>
    </cfRule>
  </conditionalFormatting>
  <conditionalFormatting sqref="D18">
    <cfRule type="cellIs" dxfId="1219" priority="31" operator="lessThan">
      <formula>0%</formula>
    </cfRule>
    <cfRule type="cellIs" dxfId="1218" priority="32" operator="greaterThan">
      <formula>H18</formula>
    </cfRule>
    <cfRule type="cellIs" dxfId="1217" priority="33" operator="between">
      <formula>0%</formula>
      <formula>H18</formula>
    </cfRule>
  </conditionalFormatting>
  <conditionalFormatting sqref="D19">
    <cfRule type="cellIs" dxfId="1216" priority="28" operator="lessThan">
      <formula>0%</formula>
    </cfRule>
    <cfRule type="cellIs" dxfId="1215" priority="29" operator="greaterThan">
      <formula>H19</formula>
    </cfRule>
    <cfRule type="cellIs" dxfId="1214" priority="30" operator="between">
      <formula>0%</formula>
      <formula>H19</formula>
    </cfRule>
  </conditionalFormatting>
  <conditionalFormatting sqref="E19">
    <cfRule type="cellIs" dxfId="1213" priority="25" operator="lessThan">
      <formula>0%</formula>
    </cfRule>
    <cfRule type="cellIs" dxfId="1212" priority="26" operator="greaterThan">
      <formula>I19</formula>
    </cfRule>
    <cfRule type="cellIs" dxfId="1211" priority="27" operator="between">
      <formula>0%</formula>
      <formula>I19</formula>
    </cfRule>
  </conditionalFormatting>
  <conditionalFormatting sqref="E20">
    <cfRule type="cellIs" dxfId="1210" priority="22" operator="lessThan">
      <formula>0%</formula>
    </cfRule>
    <cfRule type="cellIs" dxfId="1209" priority="23" operator="greaterThan">
      <formula>I20</formula>
    </cfRule>
    <cfRule type="cellIs" dxfId="1208" priority="24" operator="between">
      <formula>0%</formula>
      <formula>I20</formula>
    </cfRule>
  </conditionalFormatting>
  <conditionalFormatting sqref="D20">
    <cfRule type="cellIs" dxfId="1207" priority="19" operator="lessThan">
      <formula>0%</formula>
    </cfRule>
    <cfRule type="cellIs" dxfId="1206" priority="20" operator="greaterThan">
      <formula>H20</formula>
    </cfRule>
    <cfRule type="cellIs" dxfId="1205" priority="21" operator="between">
      <formula>0%</formula>
      <formula>H20</formula>
    </cfRule>
  </conditionalFormatting>
  <conditionalFormatting sqref="D21">
    <cfRule type="cellIs" dxfId="1204" priority="16" operator="lessThan">
      <formula>0%</formula>
    </cfRule>
    <cfRule type="cellIs" dxfId="1203" priority="17" operator="greaterThan">
      <formula>H21</formula>
    </cfRule>
    <cfRule type="cellIs" dxfId="1202" priority="18" operator="between">
      <formula>0%</formula>
      <formula>H21</formula>
    </cfRule>
  </conditionalFormatting>
  <conditionalFormatting sqref="E21">
    <cfRule type="cellIs" dxfId="1201" priority="13" operator="lessThan">
      <formula>0%</formula>
    </cfRule>
    <cfRule type="cellIs" dxfId="1200" priority="14" operator="greaterThan">
      <formula>I21</formula>
    </cfRule>
    <cfRule type="cellIs" dxfId="1199" priority="15" operator="between">
      <formula>0%</formula>
      <formula>I21</formula>
    </cfRule>
  </conditionalFormatting>
  <conditionalFormatting sqref="E22">
    <cfRule type="cellIs" dxfId="1198" priority="10" operator="lessThan">
      <formula>0%</formula>
    </cfRule>
    <cfRule type="cellIs" dxfId="1197" priority="11" operator="greaterThan">
      <formula>I22</formula>
    </cfRule>
    <cfRule type="cellIs" dxfId="1196" priority="12" operator="between">
      <formula>0%</formula>
      <formula>I22</formula>
    </cfRule>
  </conditionalFormatting>
  <conditionalFormatting sqref="D22">
    <cfRule type="cellIs" dxfId="1195" priority="7" operator="lessThan">
      <formula>0%</formula>
    </cfRule>
    <cfRule type="cellIs" dxfId="1194" priority="8" operator="greaterThan">
      <formula>H22</formula>
    </cfRule>
    <cfRule type="cellIs" dxfId="1193" priority="9" operator="between">
      <formula>0%</formula>
      <formula>H22</formula>
    </cfRule>
  </conditionalFormatting>
  <conditionalFormatting sqref="D23">
    <cfRule type="cellIs" dxfId="1192" priority="4" operator="lessThan">
      <formula>0%</formula>
    </cfRule>
    <cfRule type="cellIs" dxfId="1191" priority="5" operator="greaterThan">
      <formula>H23</formula>
    </cfRule>
    <cfRule type="cellIs" dxfId="1190" priority="6" operator="between">
      <formula>0%</formula>
      <formula>H23</formula>
    </cfRule>
  </conditionalFormatting>
  <conditionalFormatting sqref="E23">
    <cfRule type="cellIs" dxfId="1189" priority="1" operator="lessThan">
      <formula>0%</formula>
    </cfRule>
    <cfRule type="cellIs" dxfId="1188" priority="2" operator="greaterThan">
      <formula>I23</formula>
    </cfRule>
    <cfRule type="cellIs" dxfId="1187"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06B7AF86-ECC3-432D-92A9-7796218950E3}">
            <xm:f>-1 * 'STATE CODES (NUM) &amp; MIN-MAX'!$E$18</xm:f>
            <xm:f>'STATE CODES (NUM) &amp; MIN-MAX'!$E$18</xm:f>
            <x14:dxf>
              <font>
                <color theme="5" tint="-0.499984740745262"/>
              </font>
              <fill>
                <patternFill>
                  <bgColor rgb="FFFFCCCC"/>
                </patternFill>
              </fill>
            </x14:dxf>
          </x14:cfRule>
          <xm:sqref>E26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B2:I30"/>
  <sheetViews>
    <sheetView showGridLines="0" showRowColHeaders="0" zoomScale="90" zoomScaleNormal="90" workbookViewId="0">
      <selection activeCell="C8" sqref="C8:F8"/>
    </sheetView>
  </sheetViews>
  <sheetFormatPr defaultRowHeight="15" x14ac:dyDescent="0.25"/>
  <cols>
    <col min="1" max="1" width="6.42578125" customWidth="1"/>
    <col min="2" max="2" width="33" bestFit="1" customWidth="1"/>
    <col min="3" max="3" width="28.5703125" customWidth="1"/>
    <col min="4" max="5" width="9.28515625" bestFit="1" customWidth="1"/>
    <col min="6" max="6" width="30.140625" customWidth="1"/>
    <col min="7" max="7" width="6.42578125" hidden="1" customWidth="1"/>
    <col min="8" max="8" width="0" hidden="1" customWidth="1"/>
  </cols>
  <sheetData>
    <row r="2" spans="2:6" ht="15.75" x14ac:dyDescent="0.25">
      <c r="B2" s="664" t="s">
        <v>301</v>
      </c>
      <c r="C2" s="664"/>
      <c r="D2" s="664"/>
      <c r="E2" s="664"/>
      <c r="F2" s="664"/>
    </row>
    <row r="3" spans="2:6" ht="20.25" x14ac:dyDescent="0.3">
      <c r="B3" s="665" t="s">
        <v>302</v>
      </c>
      <c r="C3" s="665"/>
      <c r="D3" s="665"/>
      <c r="E3" s="665"/>
      <c r="F3" s="665"/>
    </row>
    <row r="4" spans="2:6" ht="15.75" x14ac:dyDescent="0.25">
      <c r="B4" s="203"/>
      <c r="C4" s="201"/>
      <c r="D4" s="201"/>
      <c r="E4" s="201"/>
      <c r="F4" s="201"/>
    </row>
    <row r="5" spans="2:6" x14ac:dyDescent="0.25">
      <c r="B5" s="122" t="s">
        <v>303</v>
      </c>
      <c r="C5" s="174"/>
      <c r="D5" s="174"/>
      <c r="E5" s="174"/>
      <c r="F5" s="174"/>
    </row>
    <row r="6" spans="2:6" ht="16.5" thickBot="1" x14ac:dyDescent="0.3">
      <c r="B6" s="123"/>
      <c r="C6" s="161"/>
      <c r="D6" s="161"/>
      <c r="E6" s="161"/>
      <c r="F6" s="161"/>
    </row>
    <row r="7" spans="2:6" ht="16.5" thickBot="1" x14ac:dyDescent="0.3">
      <c r="B7" s="124" t="s">
        <v>193</v>
      </c>
      <c r="C7" s="666" t="str">
        <f>IF('Worksheet Prep'!D3&lt;&gt;"",'Worksheet Prep'!D3,"")</f>
        <v/>
      </c>
      <c r="D7" s="667"/>
      <c r="E7" s="667"/>
      <c r="F7" s="668"/>
    </row>
    <row r="8" spans="2:6" ht="16.5" thickBot="1" x14ac:dyDescent="0.3">
      <c r="B8" s="124" t="s">
        <v>272</v>
      </c>
      <c r="C8" s="669"/>
      <c r="D8" s="670"/>
      <c r="E8" s="670"/>
      <c r="F8" s="671"/>
    </row>
    <row r="9" spans="2:6" ht="16.5" thickBot="1" x14ac:dyDescent="0.3">
      <c r="B9" s="124" t="s">
        <v>94</v>
      </c>
      <c r="C9" s="672" t="str">
        <f>IF('Worksheet Prep'!G5&lt;&gt;"",'Worksheet Prep'!G5,"")</f>
        <v/>
      </c>
      <c r="D9" s="673"/>
      <c r="E9" s="673"/>
      <c r="F9" s="674"/>
    </row>
    <row r="10" spans="2:6" ht="16.5" thickBot="1" x14ac:dyDescent="0.3">
      <c r="B10" s="124" t="s">
        <v>304</v>
      </c>
      <c r="C10" s="681" t="str">
        <f>IF('Worksheet Prep'!C5&lt;&gt;"",'Worksheet Prep'!C5,"")</f>
        <v/>
      </c>
      <c r="D10" s="673"/>
      <c r="E10" s="673"/>
      <c r="F10" s="674"/>
    </row>
    <row r="11" spans="2:6" ht="26.25" thickBot="1" x14ac:dyDescent="0.3">
      <c r="B11" s="249" t="s">
        <v>305</v>
      </c>
      <c r="C11" s="669"/>
      <c r="D11" s="670"/>
      <c r="E11" s="670"/>
      <c r="F11" s="671"/>
    </row>
    <row r="12" spans="2:6" ht="16.5" thickBot="1" x14ac:dyDescent="0.3">
      <c r="B12" s="246" t="s">
        <v>196</v>
      </c>
      <c r="C12" s="675" t="str">
        <f>'Additional Info'!F2</f>
        <v>Praetorian Insurance - 3501</v>
      </c>
      <c r="D12" s="676"/>
      <c r="E12" s="676"/>
      <c r="F12" s="677"/>
    </row>
    <row r="13" spans="2:6" ht="15.75" thickBot="1" x14ac:dyDescent="0.3">
      <c r="B13" s="124" t="s">
        <v>197</v>
      </c>
      <c r="C13" s="678">
        <f>VLOOKUP(C12,'STATE CODES (NUM) &amp; MIN-MAX'!B56:D58,3,FALSE)</f>
        <v>21172</v>
      </c>
      <c r="D13" s="679"/>
      <c r="E13" s="679"/>
      <c r="F13" s="680"/>
    </row>
    <row r="14" spans="2:6" ht="16.5" thickBot="1" x14ac:dyDescent="0.3">
      <c r="B14" s="124" t="s">
        <v>306</v>
      </c>
      <c r="C14" s="682"/>
      <c r="D14" s="683"/>
      <c r="E14" s="683"/>
      <c r="F14" s="684"/>
    </row>
    <row r="15" spans="2:6" ht="15.75" thickBot="1" x14ac:dyDescent="0.3">
      <c r="B15" s="121"/>
      <c r="C15" s="174"/>
      <c r="D15" s="174"/>
      <c r="E15" s="174"/>
      <c r="F15" s="188"/>
    </row>
    <row r="16" spans="2:6" ht="27" thickBot="1" x14ac:dyDescent="0.3">
      <c r="B16" s="207" t="s">
        <v>198</v>
      </c>
      <c r="C16" s="207" t="s">
        <v>199</v>
      </c>
      <c r="D16" s="179" t="s">
        <v>200</v>
      </c>
      <c r="E16" s="179" t="s">
        <v>201</v>
      </c>
      <c r="F16" s="179" t="s">
        <v>244</v>
      </c>
    </row>
    <row r="17" spans="2:9" ht="45" customHeight="1" thickBot="1" x14ac:dyDescent="0.3">
      <c r="B17" s="228" t="s">
        <v>204</v>
      </c>
      <c r="C17" s="229" t="s">
        <v>245</v>
      </c>
      <c r="D17" s="346">
        <v>0</v>
      </c>
      <c r="E17" s="346">
        <v>0</v>
      </c>
      <c r="F17" s="370"/>
      <c r="G17" s="416">
        <v>0.1</v>
      </c>
      <c r="H17" s="416">
        <v>0.1</v>
      </c>
    </row>
    <row r="18" spans="2:9" ht="45" customHeight="1" thickBot="1" x14ac:dyDescent="0.3">
      <c r="B18" s="228" t="s">
        <v>207</v>
      </c>
      <c r="C18" s="230" t="s">
        <v>245</v>
      </c>
      <c r="D18" s="348">
        <v>0</v>
      </c>
      <c r="E18" s="348">
        <v>0</v>
      </c>
      <c r="F18" s="371"/>
      <c r="G18" s="416">
        <v>0.1</v>
      </c>
      <c r="H18" s="416">
        <v>0.1</v>
      </c>
    </row>
    <row r="19" spans="2:9" ht="45" customHeight="1" thickBot="1" x14ac:dyDescent="0.3">
      <c r="B19" s="228" t="s">
        <v>208</v>
      </c>
      <c r="C19" s="230" t="s">
        <v>246</v>
      </c>
      <c r="D19" s="348">
        <v>0</v>
      </c>
      <c r="E19" s="348">
        <v>0</v>
      </c>
      <c r="F19" s="371"/>
      <c r="G19" s="416">
        <v>0.05</v>
      </c>
      <c r="H19" s="416">
        <v>0.05</v>
      </c>
    </row>
    <row r="20" spans="2:9" ht="45" customHeight="1" thickBot="1" x14ac:dyDescent="0.3">
      <c r="B20" s="228" t="s">
        <v>210</v>
      </c>
      <c r="C20" s="230" t="s">
        <v>246</v>
      </c>
      <c r="D20" s="348">
        <v>0</v>
      </c>
      <c r="E20" s="348">
        <v>0</v>
      </c>
      <c r="F20" s="371"/>
      <c r="G20" s="416">
        <v>0.05</v>
      </c>
      <c r="H20" s="416">
        <v>0.05</v>
      </c>
    </row>
    <row r="21" spans="2:9" ht="45" customHeight="1" thickBot="1" x14ac:dyDescent="0.3">
      <c r="B21" s="228" t="s">
        <v>247</v>
      </c>
      <c r="C21" s="230" t="s">
        <v>245</v>
      </c>
      <c r="D21" s="348">
        <v>0</v>
      </c>
      <c r="E21" s="348">
        <v>0</v>
      </c>
      <c r="F21" s="371"/>
      <c r="G21" s="416">
        <v>0.1</v>
      </c>
      <c r="H21" s="416">
        <v>0.1</v>
      </c>
    </row>
    <row r="22" spans="2:9" ht="45" customHeight="1" thickBot="1" x14ac:dyDescent="0.3">
      <c r="B22" s="228" t="s">
        <v>248</v>
      </c>
      <c r="C22" s="230" t="s">
        <v>246</v>
      </c>
      <c r="D22" s="348">
        <v>0</v>
      </c>
      <c r="E22" s="348">
        <v>0</v>
      </c>
      <c r="F22" s="371"/>
      <c r="G22" s="416">
        <v>0.05</v>
      </c>
      <c r="H22" s="416">
        <v>0.05</v>
      </c>
    </row>
    <row r="23" spans="2:9" ht="45" customHeight="1" thickBot="1" x14ac:dyDescent="0.3">
      <c r="B23" s="228" t="s">
        <v>249</v>
      </c>
      <c r="C23" s="231" t="s">
        <v>246</v>
      </c>
      <c r="D23" s="447">
        <v>0</v>
      </c>
      <c r="E23" s="447">
        <v>0</v>
      </c>
      <c r="F23" s="372"/>
      <c r="G23" s="416">
        <v>0.05</v>
      </c>
      <c r="H23" s="416">
        <v>0.05</v>
      </c>
    </row>
    <row r="24" spans="2:9" ht="15.75" thickBot="1" x14ac:dyDescent="0.3">
      <c r="B24" s="119" t="s">
        <v>250</v>
      </c>
      <c r="C24" s="250"/>
      <c r="D24" s="142">
        <f>-1 * SUM(D17:D23)</f>
        <v>0</v>
      </c>
      <c r="E24" s="168">
        <f>SUM(E17:E23)</f>
        <v>0</v>
      </c>
      <c r="F24" s="141" t="s">
        <v>307</v>
      </c>
    </row>
    <row r="25" spans="2:9" x14ac:dyDescent="0.25">
      <c r="B25" s="215"/>
      <c r="C25" s="248"/>
      <c r="D25" s="211"/>
      <c r="E25" s="211"/>
      <c r="F25" s="120"/>
    </row>
    <row r="26" spans="2:9" ht="15.75" thickBot="1" x14ac:dyDescent="0.3">
      <c r="B26" s="686">
        <v>0</v>
      </c>
      <c r="C26" s="686"/>
      <c r="D26" s="248"/>
      <c r="E26" s="593">
        <f>SUM(D24:E24)</f>
        <v>0</v>
      </c>
      <c r="F26" s="593"/>
      <c r="I26" t="s">
        <v>443</v>
      </c>
    </row>
    <row r="27" spans="2:9" x14ac:dyDescent="0.25">
      <c r="B27" s="255" t="s">
        <v>308</v>
      </c>
      <c r="C27" s="208"/>
      <c r="D27" s="210"/>
      <c r="E27" s="685" t="s">
        <v>309</v>
      </c>
      <c r="F27" s="685"/>
    </row>
    <row r="28" spans="2:9" x14ac:dyDescent="0.25">
      <c r="B28" s="209"/>
      <c r="C28" s="208"/>
      <c r="D28" s="210"/>
      <c r="E28" s="210"/>
      <c r="F28" s="210"/>
    </row>
    <row r="29" spans="2:9" ht="16.5" thickBot="1" x14ac:dyDescent="0.3">
      <c r="B29" s="436" t="s">
        <v>217</v>
      </c>
      <c r="C29" s="585" t="str">
        <f>'Worksheet Prep'!D4</f>
        <v/>
      </c>
      <c r="D29" s="585"/>
      <c r="E29" s="227" t="s">
        <v>218</v>
      </c>
      <c r="F29" s="232" t="str">
        <f>IF('Worksheet Prep'!J6&lt;&gt;"",'Worksheet Prep'!J6,"")</f>
        <v/>
      </c>
    </row>
    <row r="30" spans="2:9" x14ac:dyDescent="0.25">
      <c r="B30" s="208"/>
      <c r="C30" s="208" t="s">
        <v>310</v>
      </c>
      <c r="D30" s="201"/>
      <c r="E30" s="209"/>
      <c r="F30" s="201"/>
    </row>
  </sheetData>
  <sheetProtection algorithmName="SHA-512" hashValue="9TJDTySwBdMWhRMDCcJZEpESvJsjcl1zy6r/A2QdYbIQDTKJjPnvFCx7sw0eBaRO+8EdGJCVXuwS88dOVit0tg==" saltValue="j0FfM+jwUXqmO0BmvFJDHw==" spinCount="100000" sheet="1" objects="1" scenarios="1" selectLockedCells="1"/>
  <mergeCells count="14">
    <mergeCell ref="C29:D29"/>
    <mergeCell ref="C12:F12"/>
    <mergeCell ref="C13:F13"/>
    <mergeCell ref="C10:F10"/>
    <mergeCell ref="C11:F11"/>
    <mergeCell ref="C14:F14"/>
    <mergeCell ref="E26:F26"/>
    <mergeCell ref="E27:F27"/>
    <mergeCell ref="B26:C26"/>
    <mergeCell ref="B2:F2"/>
    <mergeCell ref="B3:F3"/>
    <mergeCell ref="C7:F7"/>
    <mergeCell ref="C8:F8"/>
    <mergeCell ref="C9:F9"/>
  </mergeCells>
  <conditionalFormatting sqref="D17">
    <cfRule type="cellIs" dxfId="1185" priority="41" operator="lessThan">
      <formula>0%</formula>
    </cfRule>
    <cfRule type="cellIs" dxfId="1184" priority="42" operator="greaterThan">
      <formula>G17</formula>
    </cfRule>
    <cfRule type="cellIs" dxfId="1183" priority="43" operator="between">
      <formula>0%</formula>
      <formula>G17</formula>
    </cfRule>
  </conditionalFormatting>
  <conditionalFormatting sqref="E17">
    <cfRule type="cellIs" dxfId="1182" priority="37" operator="lessThan">
      <formula>0%</formula>
    </cfRule>
    <cfRule type="cellIs" dxfId="1181" priority="38" operator="greaterThan">
      <formula>H17</formula>
    </cfRule>
    <cfRule type="cellIs" dxfId="1180" priority="39" operator="between">
      <formula>0%</formula>
      <formula>H17</formula>
    </cfRule>
  </conditionalFormatting>
  <conditionalFormatting sqref="E18">
    <cfRule type="cellIs" dxfId="1179" priority="34" operator="lessThan">
      <formula>0%</formula>
    </cfRule>
    <cfRule type="cellIs" dxfId="1178" priority="35" operator="greaterThan">
      <formula>H18</formula>
    </cfRule>
    <cfRule type="cellIs" dxfId="1177" priority="36" operator="between">
      <formula>0%</formula>
      <formula>H18</formula>
    </cfRule>
  </conditionalFormatting>
  <conditionalFormatting sqref="D18">
    <cfRule type="cellIs" dxfId="1176" priority="31" operator="lessThan">
      <formula>0%</formula>
    </cfRule>
    <cfRule type="cellIs" dxfId="1175" priority="32" operator="greaterThan">
      <formula>G18</formula>
    </cfRule>
    <cfRule type="cellIs" dxfId="1174" priority="33" operator="between">
      <formula>0%</formula>
      <formula>G18</formula>
    </cfRule>
  </conditionalFormatting>
  <conditionalFormatting sqref="D19">
    <cfRule type="cellIs" dxfId="1173" priority="28" operator="lessThan">
      <formula>0%</formula>
    </cfRule>
    <cfRule type="cellIs" dxfId="1172" priority="29" operator="greaterThan">
      <formula>G19</formula>
    </cfRule>
    <cfRule type="cellIs" dxfId="1171" priority="30" operator="between">
      <formula>0%</formula>
      <formula>G19</formula>
    </cfRule>
  </conditionalFormatting>
  <conditionalFormatting sqref="E19">
    <cfRule type="cellIs" dxfId="1170" priority="25" operator="lessThan">
      <formula>0%</formula>
    </cfRule>
    <cfRule type="cellIs" dxfId="1169" priority="26" operator="greaterThan">
      <formula>H19</formula>
    </cfRule>
    <cfRule type="cellIs" dxfId="1168" priority="27" operator="between">
      <formula>0%</formula>
      <formula>H19</formula>
    </cfRule>
  </conditionalFormatting>
  <conditionalFormatting sqref="E20">
    <cfRule type="cellIs" dxfId="1167" priority="22" operator="lessThan">
      <formula>0%</formula>
    </cfRule>
    <cfRule type="cellIs" dxfId="1166" priority="23" operator="greaterThan">
      <formula>H20</formula>
    </cfRule>
    <cfRule type="cellIs" dxfId="1165" priority="24" operator="between">
      <formula>0%</formula>
      <formula>H20</formula>
    </cfRule>
  </conditionalFormatting>
  <conditionalFormatting sqref="D20">
    <cfRule type="cellIs" dxfId="1164" priority="19" operator="lessThan">
      <formula>0%</formula>
    </cfRule>
    <cfRule type="cellIs" dxfId="1163" priority="20" operator="greaterThan">
      <formula>G20</formula>
    </cfRule>
    <cfRule type="cellIs" dxfId="1162" priority="21" operator="between">
      <formula>0%</formula>
      <formula>G20</formula>
    </cfRule>
  </conditionalFormatting>
  <conditionalFormatting sqref="D21">
    <cfRule type="cellIs" dxfId="1161" priority="16" operator="lessThan">
      <formula>0%</formula>
    </cfRule>
    <cfRule type="cellIs" dxfId="1160" priority="17" operator="greaterThan">
      <formula>G21</formula>
    </cfRule>
    <cfRule type="cellIs" dxfId="1159" priority="18" operator="between">
      <formula>0%</formula>
      <formula>G21</formula>
    </cfRule>
  </conditionalFormatting>
  <conditionalFormatting sqref="E21">
    <cfRule type="cellIs" dxfId="1158" priority="13" operator="lessThan">
      <formula>0%</formula>
    </cfRule>
    <cfRule type="cellIs" dxfId="1157" priority="14" operator="greaterThan">
      <formula>H21</formula>
    </cfRule>
    <cfRule type="cellIs" dxfId="1156" priority="15" operator="between">
      <formula>0%</formula>
      <formula>H21</formula>
    </cfRule>
  </conditionalFormatting>
  <conditionalFormatting sqref="E22">
    <cfRule type="cellIs" dxfId="1155" priority="10" operator="lessThan">
      <formula>0%</formula>
    </cfRule>
    <cfRule type="cellIs" dxfId="1154" priority="11" operator="greaterThan">
      <formula>H22</formula>
    </cfRule>
    <cfRule type="cellIs" dxfId="1153" priority="12" operator="between">
      <formula>0%</formula>
      <formula>H22</formula>
    </cfRule>
  </conditionalFormatting>
  <conditionalFormatting sqref="D22">
    <cfRule type="cellIs" dxfId="1152" priority="7" operator="lessThan">
      <formula>0%</formula>
    </cfRule>
    <cfRule type="cellIs" dxfId="1151" priority="8" operator="greaterThan">
      <formula>G22</formula>
    </cfRule>
    <cfRule type="cellIs" dxfId="1150" priority="9" operator="between">
      <formula>0%</formula>
      <formula>G22</formula>
    </cfRule>
  </conditionalFormatting>
  <conditionalFormatting sqref="D23">
    <cfRule type="cellIs" dxfId="1149" priority="4" operator="lessThan">
      <formula>0%</formula>
    </cfRule>
    <cfRule type="cellIs" dxfId="1148" priority="5" operator="greaterThan">
      <formula>G23</formula>
    </cfRule>
    <cfRule type="cellIs" dxfId="1147" priority="6" operator="between">
      <formula>0%</formula>
      <formula>G23</formula>
    </cfRule>
  </conditionalFormatting>
  <conditionalFormatting sqref="E23">
    <cfRule type="cellIs" dxfId="1146" priority="1" operator="lessThan">
      <formula>0%</formula>
    </cfRule>
    <cfRule type="cellIs" dxfId="1145" priority="2" operator="greaterThan">
      <formula>H23</formula>
    </cfRule>
    <cfRule type="cellIs" dxfId="1144" priority="3" operator="between">
      <formula>0%</formula>
      <formula>H23</formula>
    </cfRule>
  </conditionalFormatting>
  <pageMargins left="0.7" right="0.7" top="0.75" bottom="0.75" header="0.3" footer="0.3"/>
  <pageSetup scale="82"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20E36827-4FD3-422C-B03F-F28ABF58366A}">
            <xm:f>-1 * 'STATE CODES (NUM) &amp; MIN-MAX'!$E$19</xm:f>
            <xm:f>'STATE CODES (NUM) &amp; MIN-MAX'!$E$19</xm:f>
            <x14:dxf>
              <font>
                <color theme="5" tint="-0.499984740745262"/>
              </font>
              <fill>
                <patternFill>
                  <bgColor rgb="FFFFCCCC"/>
                </patternFill>
              </fill>
            </x14:dxf>
          </x14:cfRule>
          <xm:sqref>E26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2">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114</v>
      </c>
      <c r="C4" s="637"/>
      <c r="D4" s="637"/>
      <c r="E4" s="637"/>
      <c r="F4" s="637"/>
      <c r="G4" s="637"/>
    </row>
    <row r="5" spans="1:8" ht="15.75" x14ac:dyDescent="0.25">
      <c r="B5" s="92"/>
      <c r="C5" s="92"/>
      <c r="D5" s="93"/>
      <c r="E5" s="93"/>
      <c r="F5" s="93"/>
      <c r="G5" s="93"/>
    </row>
    <row r="6" spans="1:8" ht="15.75" x14ac:dyDescent="0.25">
      <c r="B6" s="252" t="s">
        <v>193</v>
      </c>
      <c r="C6" s="399" t="str">
        <f>IF('Worksheet Prep'!D3&lt;&gt;"",'Worksheet Prep'!D3,"")</f>
        <v/>
      </c>
      <c r="D6"/>
      <c r="E6" s="252" t="s">
        <v>194</v>
      </c>
      <c r="F6" s="507"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87"/>
      <c r="H9" s="22"/>
    </row>
    <row r="10" spans="1:8" ht="15.75" x14ac:dyDescent="0.25">
      <c r="B10" s="252" t="s">
        <v>196</v>
      </c>
      <c r="C10" s="242" t="str">
        <f>'Additional Info'!F2</f>
        <v>Praetorian Insurance - 3501</v>
      </c>
      <c r="D10" s="252"/>
      <c r="E10" s="252" t="s">
        <v>299</v>
      </c>
      <c r="F10" s="132" t="str">
        <f>B4</f>
        <v>KENTUCKY</v>
      </c>
      <c r="G10" s="101"/>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270</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88" t="s">
        <v>205</v>
      </c>
      <c r="D17" s="346">
        <v>0</v>
      </c>
      <c r="E17" s="346">
        <v>0</v>
      </c>
      <c r="F17" s="364"/>
      <c r="G17" s="431" t="s">
        <v>206</v>
      </c>
      <c r="H17" s="407">
        <v>0.1</v>
      </c>
      <c r="I17" s="407">
        <v>0.1</v>
      </c>
    </row>
    <row r="18" spans="2:9" ht="45" customHeight="1" thickBot="1" x14ac:dyDescent="0.3">
      <c r="B18" s="273" t="s">
        <v>207</v>
      </c>
      <c r="C18" s="138" t="s">
        <v>205</v>
      </c>
      <c r="D18" s="348">
        <v>0</v>
      </c>
      <c r="E18" s="348">
        <v>0</v>
      </c>
      <c r="F18" s="366"/>
      <c r="G18" s="432" t="s">
        <v>206</v>
      </c>
      <c r="H18" s="407">
        <v>0.1</v>
      </c>
      <c r="I18" s="407">
        <v>0.1</v>
      </c>
    </row>
    <row r="19" spans="2:9" ht="45" customHeight="1" thickBot="1" x14ac:dyDescent="0.3">
      <c r="B19" s="273" t="s">
        <v>208</v>
      </c>
      <c r="C19" s="138" t="s">
        <v>312</v>
      </c>
      <c r="D19" s="348">
        <v>0</v>
      </c>
      <c r="E19" s="348">
        <v>0</v>
      </c>
      <c r="F19" s="366"/>
      <c r="G19" s="432" t="s">
        <v>206</v>
      </c>
      <c r="H19" s="407">
        <v>0.05</v>
      </c>
      <c r="I19" s="407">
        <v>0.05</v>
      </c>
    </row>
    <row r="20" spans="2:9" ht="45" customHeight="1" thickBot="1" x14ac:dyDescent="0.3">
      <c r="B20" s="273" t="s">
        <v>210</v>
      </c>
      <c r="C20" s="138" t="s">
        <v>312</v>
      </c>
      <c r="D20" s="348">
        <v>0</v>
      </c>
      <c r="E20" s="348">
        <v>0</v>
      </c>
      <c r="F20" s="366"/>
      <c r="G20" s="432" t="s">
        <v>206</v>
      </c>
      <c r="H20" s="407">
        <v>0.05</v>
      </c>
      <c r="I20" s="407">
        <v>0.05</v>
      </c>
    </row>
    <row r="21" spans="2:9" ht="45" customHeight="1" thickBot="1" x14ac:dyDescent="0.3">
      <c r="B21" s="273" t="s">
        <v>288</v>
      </c>
      <c r="C21" s="138" t="s">
        <v>205</v>
      </c>
      <c r="D21" s="348">
        <v>0</v>
      </c>
      <c r="E21" s="348">
        <v>0</v>
      </c>
      <c r="F21" s="366"/>
      <c r="G21" s="432" t="s">
        <v>206</v>
      </c>
      <c r="H21" s="407">
        <v>0.1</v>
      </c>
      <c r="I21" s="407">
        <v>0.1</v>
      </c>
    </row>
    <row r="22" spans="2:9" ht="45" customHeight="1" thickBot="1" x14ac:dyDescent="0.3">
      <c r="B22" s="273" t="s">
        <v>289</v>
      </c>
      <c r="C22" s="138" t="s">
        <v>313</v>
      </c>
      <c r="D22" s="348">
        <v>0</v>
      </c>
      <c r="E22" s="348">
        <v>0</v>
      </c>
      <c r="F22" s="366"/>
      <c r="G22" s="432" t="s">
        <v>206</v>
      </c>
      <c r="H22" s="407">
        <v>0.05</v>
      </c>
      <c r="I22" s="407">
        <v>0.1</v>
      </c>
    </row>
    <row r="23" spans="2:9" ht="45" customHeight="1" thickBot="1" x14ac:dyDescent="0.3">
      <c r="B23" s="276" t="s">
        <v>311</v>
      </c>
      <c r="C23" s="139">
        <v>0.05</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IF('Worksheet Prep'!D4&lt;&gt;"",'Worksheet Prep'!D4,"")</f>
        <v/>
      </c>
      <c r="D28" s="496"/>
      <c r="E28" s="99" t="s">
        <v>218</v>
      </c>
      <c r="F28" s="117" t="str">
        <f>IF('Worksheet Prep'!J6&lt;&gt;"",'Worksheet Prep'!J6,"")</f>
        <v/>
      </c>
    </row>
  </sheetData>
  <sheetProtection algorithmName="SHA-512" hashValue="0EwZBATkn1TgsJSbgXmo7e3PaTq8cFIZDXDaDZ+8lMLOm4K+WHkZDFgEQaTKnU2fDiWc1xET6AzhGkWh0MX5Tw==" saltValue="Mat32HF55h55Z/AgUNzR/g==" spinCount="100000" sheet="1" objects="1" scenarios="1" selectLockedCells="1"/>
  <mergeCells count="13">
    <mergeCell ref="F6:G6"/>
    <mergeCell ref="F8:G8"/>
    <mergeCell ref="B2:G2"/>
    <mergeCell ref="B4:G4"/>
    <mergeCell ref="C28:D28"/>
    <mergeCell ref="B13:G14"/>
    <mergeCell ref="B15:B16"/>
    <mergeCell ref="C15:C16"/>
    <mergeCell ref="D15:D16"/>
    <mergeCell ref="E15:E16"/>
    <mergeCell ref="F15:F16"/>
    <mergeCell ref="G15:G16"/>
    <mergeCell ref="F26:G26"/>
  </mergeCells>
  <conditionalFormatting sqref="E17">
    <cfRule type="cellIs" dxfId="1142" priority="41" operator="lessThan">
      <formula>0%</formula>
    </cfRule>
    <cfRule type="cellIs" dxfId="1141" priority="42" operator="greaterThan">
      <formula>I17</formula>
    </cfRule>
    <cfRule type="cellIs" dxfId="1140" priority="43" operator="between">
      <formula>0%</formula>
      <formula>I17</formula>
    </cfRule>
  </conditionalFormatting>
  <conditionalFormatting sqref="E18">
    <cfRule type="cellIs" dxfId="1139" priority="38" operator="lessThan">
      <formula>0%</formula>
    </cfRule>
    <cfRule type="cellIs" dxfId="1138" priority="39" operator="greaterThan">
      <formula>I18</formula>
    </cfRule>
    <cfRule type="cellIs" dxfId="1137" priority="40" operator="between">
      <formula>0%</formula>
      <formula>I18</formula>
    </cfRule>
  </conditionalFormatting>
  <conditionalFormatting sqref="D18">
    <cfRule type="cellIs" dxfId="1136" priority="35" operator="lessThan">
      <formula>0%</formula>
    </cfRule>
    <cfRule type="cellIs" dxfId="1135" priority="36" operator="greaterThan">
      <formula>H18</formula>
    </cfRule>
    <cfRule type="cellIs" dxfId="1134" priority="37" operator="between">
      <formula>0%</formula>
      <formula>H18</formula>
    </cfRule>
  </conditionalFormatting>
  <conditionalFormatting sqref="D19">
    <cfRule type="cellIs" dxfId="1133" priority="32" operator="lessThan">
      <formula>0%</formula>
    </cfRule>
    <cfRule type="cellIs" dxfId="1132" priority="33" operator="greaterThan">
      <formula>H19</formula>
    </cfRule>
    <cfRule type="cellIs" dxfId="1131" priority="34" operator="between">
      <formula>0%</formula>
      <formula>H19</formula>
    </cfRule>
  </conditionalFormatting>
  <conditionalFormatting sqref="E19">
    <cfRule type="cellIs" dxfId="1130" priority="29" operator="lessThan">
      <formula>0%</formula>
    </cfRule>
    <cfRule type="cellIs" dxfId="1129" priority="30" operator="greaterThan">
      <formula>I19</formula>
    </cfRule>
    <cfRule type="cellIs" dxfId="1128" priority="31" operator="between">
      <formula>0%</formula>
      <formula>I19</formula>
    </cfRule>
  </conditionalFormatting>
  <conditionalFormatting sqref="E20">
    <cfRule type="cellIs" dxfId="1127" priority="26" operator="lessThan">
      <formula>0%</formula>
    </cfRule>
    <cfRule type="cellIs" dxfId="1126" priority="27" operator="greaterThan">
      <formula>I20</formula>
    </cfRule>
    <cfRule type="cellIs" dxfId="1125" priority="28" operator="between">
      <formula>0%</formula>
      <formula>I20</formula>
    </cfRule>
  </conditionalFormatting>
  <conditionalFormatting sqref="D20">
    <cfRule type="cellIs" dxfId="1124" priority="23" operator="lessThan">
      <formula>0%</formula>
    </cfRule>
    <cfRule type="cellIs" dxfId="1123" priority="24" operator="greaterThan">
      <formula>H20</formula>
    </cfRule>
    <cfRule type="cellIs" dxfId="1122" priority="25" operator="between">
      <formula>0%</formula>
      <formula>H20</formula>
    </cfRule>
  </conditionalFormatting>
  <conditionalFormatting sqref="D21">
    <cfRule type="cellIs" dxfId="1121" priority="20" operator="lessThan">
      <formula>0%</formula>
    </cfRule>
    <cfRule type="cellIs" dxfId="1120" priority="21" operator="greaterThan">
      <formula>H21</formula>
    </cfRule>
    <cfRule type="cellIs" dxfId="1119" priority="22" operator="between">
      <formula>0%</formula>
      <formula>H21</formula>
    </cfRule>
  </conditionalFormatting>
  <conditionalFormatting sqref="E21">
    <cfRule type="cellIs" dxfId="1118" priority="17" operator="lessThan">
      <formula>0%</formula>
    </cfRule>
    <cfRule type="cellIs" dxfId="1117" priority="18" operator="greaterThan">
      <formula>I21</formula>
    </cfRule>
    <cfRule type="cellIs" dxfId="1116" priority="19" operator="between">
      <formula>0%</formula>
      <formula>I21</formula>
    </cfRule>
  </conditionalFormatting>
  <conditionalFormatting sqref="E22">
    <cfRule type="cellIs" dxfId="1115" priority="14" operator="lessThan">
      <formula>0%</formula>
    </cfRule>
    <cfRule type="cellIs" dxfId="1114" priority="15" operator="greaterThan">
      <formula>I22</formula>
    </cfRule>
    <cfRule type="cellIs" dxfId="1113" priority="16" operator="between">
      <formula>0%</formula>
      <formula>I22</formula>
    </cfRule>
  </conditionalFormatting>
  <conditionalFormatting sqref="D22">
    <cfRule type="cellIs" dxfId="1112" priority="11" operator="lessThan">
      <formula>0%</formula>
    </cfRule>
    <cfRule type="cellIs" dxfId="1111" priority="12" operator="greaterThan">
      <formula>H22</formula>
    </cfRule>
    <cfRule type="cellIs" dxfId="1110" priority="13" operator="between">
      <formula>0%</formula>
      <formula>H22</formula>
    </cfRule>
  </conditionalFormatting>
  <conditionalFormatting sqref="D23">
    <cfRule type="cellIs" dxfId="1109" priority="8" operator="lessThan">
      <formula>0%</formula>
    </cfRule>
    <cfRule type="cellIs" dxfId="1108" priority="9" operator="greaterThan">
      <formula>H23</formula>
    </cfRule>
    <cfRule type="cellIs" dxfId="1107" priority="10" operator="between">
      <formula>0%</formula>
      <formula>H23</formula>
    </cfRule>
  </conditionalFormatting>
  <conditionalFormatting sqref="E23">
    <cfRule type="cellIs" dxfId="1106" priority="5" operator="lessThan">
      <formula>0%</formula>
    </cfRule>
    <cfRule type="cellIs" dxfId="1105" priority="6" operator="greaterThan">
      <formula>I23</formula>
    </cfRule>
    <cfRule type="cellIs" dxfId="1104" priority="7" operator="between">
      <formula>0%</formula>
      <formula>I23</formula>
    </cfRule>
  </conditionalFormatting>
  <conditionalFormatting sqref="D17">
    <cfRule type="cellIs" dxfId="1103" priority="2" operator="lessThan">
      <formula>0%</formula>
    </cfRule>
    <cfRule type="cellIs" dxfId="1102" priority="3" operator="greaterThan">
      <formula>H17</formula>
    </cfRule>
    <cfRule type="cellIs" dxfId="1101" priority="4" operator="between">
      <formula>0%</formula>
      <formula>H17</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7EA6BAE5-98ED-43E0-ADE1-68B66B53175C}">
            <xm:f>-1 * 'STATE CODES (NUM) &amp; MIN-MAX'!$E$20</xm:f>
            <xm:f>'STATE CODES (NUM) &amp; MIN-MAX'!$E$20</xm:f>
            <x14:dxf>
              <font>
                <color theme="5" tint="-0.499984740745262"/>
              </font>
              <fill>
                <patternFill>
                  <bgColor rgb="FFFFCCCC"/>
                </patternFill>
              </fill>
            </x14:dxf>
          </x14:cfRule>
          <xm:sqref>E26</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3">
    <pageSetUpPr fitToPage="1"/>
  </sheetPr>
  <dimension ref="A2:I25"/>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314</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87"/>
      <c r="G9" s="22"/>
      <c r="H9" s="22"/>
    </row>
    <row r="10" spans="1:8" ht="15.75" x14ac:dyDescent="0.25">
      <c r="B10" s="252" t="s">
        <v>196</v>
      </c>
      <c r="C10" s="242" t="str">
        <f>'Additional Info'!F2</f>
        <v>Praetorian Insurance - 3501</v>
      </c>
      <c r="D10" s="252"/>
      <c r="E10" s="252" t="s">
        <v>299</v>
      </c>
      <c r="F10" s="132" t="str">
        <f>B4</f>
        <v>LOUISIANNA</v>
      </c>
    </row>
    <row r="11" spans="1:8" ht="24" customHeight="1" x14ac:dyDescent="0.25">
      <c r="B11" s="252" t="s">
        <v>197</v>
      </c>
      <c r="C11" s="96">
        <f>VLOOKUP(C10,'STATE CODES (NUM) &amp; MIN-MAX'!B56:D58,3,FALSE)</f>
        <v>21172</v>
      </c>
      <c r="D11" s="101"/>
      <c r="E11" s="1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3" t="s">
        <v>288</v>
      </c>
      <c r="C17" s="278" t="s">
        <v>205</v>
      </c>
      <c r="D17" s="346">
        <v>0</v>
      </c>
      <c r="E17" s="346">
        <v>0</v>
      </c>
      <c r="F17" s="364"/>
      <c r="G17" s="431" t="s">
        <v>206</v>
      </c>
      <c r="H17" s="407">
        <v>0.1</v>
      </c>
      <c r="I17" s="407">
        <v>0.1</v>
      </c>
    </row>
    <row r="18" spans="2:9" ht="45" customHeight="1" thickBot="1" x14ac:dyDescent="0.3">
      <c r="B18" s="273" t="s">
        <v>210</v>
      </c>
      <c r="C18" s="137" t="s">
        <v>209</v>
      </c>
      <c r="D18" s="348">
        <v>0</v>
      </c>
      <c r="E18" s="348">
        <v>0</v>
      </c>
      <c r="F18" s="366"/>
      <c r="G18" s="432" t="s">
        <v>206</v>
      </c>
      <c r="H18" s="407">
        <v>0.05</v>
      </c>
      <c r="I18" s="407">
        <v>0.05</v>
      </c>
    </row>
    <row r="19" spans="2:9" ht="45" customHeight="1" thickBot="1" x14ac:dyDescent="0.3">
      <c r="B19" s="273" t="s">
        <v>289</v>
      </c>
      <c r="C19" s="137" t="s">
        <v>209</v>
      </c>
      <c r="D19" s="348">
        <v>0</v>
      </c>
      <c r="E19" s="348">
        <v>0</v>
      </c>
      <c r="F19" s="366"/>
      <c r="G19" s="432" t="s">
        <v>206</v>
      </c>
      <c r="H19" s="407">
        <v>0.05</v>
      </c>
      <c r="I19" s="407">
        <v>0.05</v>
      </c>
    </row>
    <row r="20" spans="2:9" ht="45" customHeight="1" thickBot="1" x14ac:dyDescent="0.3">
      <c r="B20" s="274" t="s">
        <v>213</v>
      </c>
      <c r="C20" s="139" t="s">
        <v>209</v>
      </c>
      <c r="D20" s="447">
        <v>0</v>
      </c>
      <c r="E20" s="447">
        <v>0</v>
      </c>
      <c r="F20" s="369"/>
      <c r="G20" s="433" t="s">
        <v>206</v>
      </c>
      <c r="H20" s="407">
        <v>0.05</v>
      </c>
      <c r="I20" s="407">
        <v>0.05</v>
      </c>
    </row>
    <row r="21" spans="2:9" ht="16.5" thickBot="1" x14ac:dyDescent="0.3">
      <c r="B21" s="92" t="s">
        <v>214</v>
      </c>
      <c r="C21" s="92"/>
      <c r="D21" s="282">
        <f>-1 * SUM(D17:D20)</f>
        <v>0</v>
      </c>
      <c r="E21" s="282">
        <f>SUM(E17:E20)</f>
        <v>0</v>
      </c>
      <c r="F21" s="93"/>
      <c r="G21" s="93"/>
    </row>
    <row r="22" spans="2:9" ht="15.75" x14ac:dyDescent="0.25">
      <c r="B22" s="92"/>
      <c r="C22" s="92"/>
      <c r="D22" s="93"/>
      <c r="E22" s="93"/>
      <c r="F22" s="93"/>
      <c r="G22" s="93"/>
    </row>
    <row r="23" spans="2:9" ht="16.5" thickBot="1" x14ac:dyDescent="0.3">
      <c r="B23" s="92"/>
      <c r="C23" s="251"/>
      <c r="D23" s="251" t="s">
        <v>287</v>
      </c>
      <c r="E23" s="444">
        <f>SUM(D21:E21)</f>
        <v>0</v>
      </c>
      <c r="F23" s="659" t="s">
        <v>443</v>
      </c>
      <c r="G23" s="660"/>
    </row>
    <row r="24" spans="2:9" ht="15.75" x14ac:dyDescent="0.25">
      <c r="B24" s="92"/>
      <c r="C24" s="92"/>
      <c r="D24" s="100"/>
      <c r="E24" s="93"/>
      <c r="F24" s="93"/>
      <c r="G24" s="93"/>
    </row>
    <row r="25" spans="2:9" ht="16.5" thickBot="1" x14ac:dyDescent="0.3">
      <c r="B25" s="99" t="s">
        <v>217</v>
      </c>
      <c r="C25" s="496" t="str">
        <f>'Worksheet Prep'!D4</f>
        <v/>
      </c>
      <c r="D25" s="496"/>
      <c r="E25" s="99" t="s">
        <v>218</v>
      </c>
      <c r="F25" s="117" t="str">
        <f>IF('Worksheet Prep'!J6&lt;&gt;"",'Worksheet Prep'!J6,"")</f>
        <v/>
      </c>
    </row>
  </sheetData>
  <sheetProtection algorithmName="SHA-512" hashValue="hcQT+JTaYmXbGaiZHaFT1WST+xPOdXVMqJ1Gf2ZTBEWdXTFLihkNax1qwQufXcElMAv4Nn4hfLfI6YpP2oiPEQ==" saltValue="69YA822GuW/MV8v3XgHGsA==" spinCount="100000" sheet="1" objects="1" scenarios="1" selectLockedCells="1"/>
  <mergeCells count="13">
    <mergeCell ref="F6:G6"/>
    <mergeCell ref="F8:G8"/>
    <mergeCell ref="B2:G2"/>
    <mergeCell ref="B4:G4"/>
    <mergeCell ref="C25:D25"/>
    <mergeCell ref="B13:G14"/>
    <mergeCell ref="B15:B16"/>
    <mergeCell ref="C15:C16"/>
    <mergeCell ref="D15:D16"/>
    <mergeCell ref="E15:E16"/>
    <mergeCell ref="F15:F16"/>
    <mergeCell ref="G15:G16"/>
    <mergeCell ref="F23:G23"/>
  </mergeCells>
  <conditionalFormatting sqref="D17">
    <cfRule type="cellIs" dxfId="1099" priority="24" operator="lessThan">
      <formula>0%</formula>
    </cfRule>
    <cfRule type="cellIs" dxfId="1098" priority="25" operator="greaterThan">
      <formula>H17</formula>
    </cfRule>
    <cfRule type="cellIs" dxfId="1097" priority="26" operator="between">
      <formula>0%</formula>
      <formula>H17</formula>
    </cfRule>
  </conditionalFormatting>
  <conditionalFormatting sqref="E17">
    <cfRule type="cellIs" dxfId="1096" priority="21" operator="lessThan">
      <formula>0%</formula>
    </cfRule>
    <cfRule type="cellIs" dxfId="1095" priority="22" operator="greaterThan">
      <formula>I17</formula>
    </cfRule>
    <cfRule type="cellIs" dxfId="1094" priority="23" operator="between">
      <formula>0%</formula>
      <formula>I17</formula>
    </cfRule>
  </conditionalFormatting>
  <conditionalFormatting sqref="E18">
    <cfRule type="cellIs" dxfId="1093" priority="18" operator="lessThan">
      <formula>0%</formula>
    </cfRule>
    <cfRule type="cellIs" dxfId="1092" priority="19" operator="greaterThan">
      <formula>I18</formula>
    </cfRule>
    <cfRule type="cellIs" dxfId="1091" priority="20" operator="between">
      <formula>0%</formula>
      <formula>I18</formula>
    </cfRule>
  </conditionalFormatting>
  <conditionalFormatting sqref="D18">
    <cfRule type="cellIs" dxfId="1090" priority="15" operator="lessThan">
      <formula>0%</formula>
    </cfRule>
    <cfRule type="cellIs" dxfId="1089" priority="16" operator="greaterThan">
      <formula>H18</formula>
    </cfRule>
    <cfRule type="cellIs" dxfId="1088" priority="17" operator="between">
      <formula>0%</formula>
      <formula>H18</formula>
    </cfRule>
  </conditionalFormatting>
  <conditionalFormatting sqref="D19">
    <cfRule type="cellIs" dxfId="1087" priority="12" operator="lessThan">
      <formula>0%</formula>
    </cfRule>
    <cfRule type="cellIs" dxfId="1086" priority="13" operator="greaterThan">
      <formula>H19</formula>
    </cfRule>
    <cfRule type="cellIs" dxfId="1085" priority="14" operator="between">
      <formula>0%</formula>
      <formula>H19</formula>
    </cfRule>
  </conditionalFormatting>
  <conditionalFormatting sqref="E19">
    <cfRule type="cellIs" dxfId="1084" priority="9" operator="lessThan">
      <formula>0%</formula>
    </cfRule>
    <cfRule type="cellIs" dxfId="1083" priority="10" operator="greaterThan">
      <formula>I19</formula>
    </cfRule>
    <cfRule type="cellIs" dxfId="1082" priority="11" operator="between">
      <formula>0%</formula>
      <formula>I19</formula>
    </cfRule>
  </conditionalFormatting>
  <conditionalFormatting sqref="E20">
    <cfRule type="cellIs" dxfId="1081" priority="6" operator="lessThan">
      <formula>0%</formula>
    </cfRule>
    <cfRule type="cellIs" dxfId="1080" priority="7" operator="greaterThan">
      <formula>I20</formula>
    </cfRule>
    <cfRule type="cellIs" dxfId="1079" priority="8" operator="between">
      <formula>0%</formula>
      <formula>I20</formula>
    </cfRule>
  </conditionalFormatting>
  <conditionalFormatting sqref="D20">
    <cfRule type="cellIs" dxfId="1078" priority="3" operator="lessThan">
      <formula>0%</formula>
    </cfRule>
    <cfRule type="cellIs" dxfId="1077" priority="4" operator="greaterThan">
      <formula>H20</formula>
    </cfRule>
    <cfRule type="cellIs" dxfId="1076" priority="5" operator="between">
      <formula>0%</formula>
      <formula>H20</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8DE3EE45-E0CE-4E3C-90D2-6F06F9225F35}">
            <xm:f>-1 * 'STATE CODES (NUM) &amp; MIN-MAX'!$E$21</xm:f>
            <xm:f>'STATE CODES (NUM) &amp; MIN-MAX'!$E$21</xm:f>
            <x14:dxf>
              <font>
                <color theme="5" tint="-0.499984740745262"/>
              </font>
              <fill>
                <patternFill>
                  <bgColor rgb="FFFFCCCC"/>
                </patternFill>
              </fill>
            </x14:dxf>
          </x14:cfRule>
          <xm:sqref>E23</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4">
    <pageSetUpPr fitToPage="1"/>
  </sheetPr>
  <dimension ref="A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116</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41"/>
      <c r="E6" s="241" t="s">
        <v>194</v>
      </c>
      <c r="F6" s="508" t="str">
        <f>IF('Worksheet Prep'!G5&lt;&gt;"",'Worksheet Prep'!G5,"")</f>
        <v/>
      </c>
      <c r="G6" s="508"/>
      <c r="H6" s="94"/>
    </row>
    <row r="7" spans="1:8" customFormat="1" x14ac:dyDescent="0.25">
      <c r="A7" s="22"/>
      <c r="B7" s="22"/>
      <c r="C7" s="22"/>
      <c r="D7" s="22"/>
      <c r="E7" s="22"/>
      <c r="F7" s="287"/>
      <c r="G7" s="287"/>
      <c r="H7" s="22"/>
    </row>
    <row r="8" spans="1:8" ht="15.75" x14ac:dyDescent="0.25">
      <c r="B8" s="252" t="s">
        <v>224</v>
      </c>
      <c r="C8" s="345"/>
      <c r="D8" s="241"/>
      <c r="E8" s="241" t="s">
        <v>195</v>
      </c>
      <c r="F8" s="509" t="str">
        <f>IF('Worksheet Prep'!C5&lt;&gt;"",'Worksheet Prep'!C5,"")</f>
        <v/>
      </c>
      <c r="G8" s="509"/>
      <c r="H8" s="95"/>
    </row>
    <row r="9" spans="1:8" customFormat="1" x14ac:dyDescent="0.25">
      <c r="A9" s="22"/>
      <c r="B9" s="22"/>
      <c r="C9" s="22"/>
      <c r="D9" s="22"/>
      <c r="E9" s="22"/>
      <c r="F9" s="287"/>
      <c r="G9" s="22"/>
      <c r="H9" s="22"/>
    </row>
    <row r="10" spans="1:8" ht="15.75" x14ac:dyDescent="0.25">
      <c r="B10" s="252" t="s">
        <v>196</v>
      </c>
      <c r="C10" s="242" t="str">
        <f>'Additional Info'!F2</f>
        <v>Praetorian Insurance - 3501</v>
      </c>
      <c r="D10" s="241"/>
      <c r="E10" s="241" t="s">
        <v>299</v>
      </c>
      <c r="F10" s="132" t="str">
        <f>B4</f>
        <v>MAINE</v>
      </c>
      <c r="G10" s="101"/>
    </row>
    <row r="11" spans="1:8" ht="24" customHeight="1" x14ac:dyDescent="0.25">
      <c r="B11" s="252" t="s">
        <v>197</v>
      </c>
      <c r="C11" s="96">
        <f>VLOOKUP(C10,'STATE CODES (NUM) &amp; MIN-MAX'!B56:D58,3,FALSE)</f>
        <v>21172</v>
      </c>
      <c r="D11" s="101"/>
      <c r="E11" s="101"/>
      <c r="F11" s="144"/>
      <c r="G11" s="144"/>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204</v>
      </c>
      <c r="C17" s="278" t="s">
        <v>205</v>
      </c>
      <c r="D17" s="346">
        <v>0</v>
      </c>
      <c r="E17" s="346">
        <v>0</v>
      </c>
      <c r="F17" s="373"/>
      <c r="G17" s="431" t="s">
        <v>206</v>
      </c>
      <c r="H17" s="407">
        <v>0.1</v>
      </c>
      <c r="I17" s="407">
        <v>0.1</v>
      </c>
    </row>
    <row r="18" spans="2:9" ht="45" customHeight="1" thickBot="1" x14ac:dyDescent="0.3">
      <c r="B18" s="273" t="s">
        <v>207</v>
      </c>
      <c r="C18" s="138" t="s">
        <v>225</v>
      </c>
      <c r="D18" s="348">
        <v>0</v>
      </c>
      <c r="E18" s="348">
        <v>0</v>
      </c>
      <c r="F18" s="366"/>
      <c r="G18" s="432" t="s">
        <v>206</v>
      </c>
      <c r="H18" s="407">
        <v>0.2</v>
      </c>
      <c r="I18" s="407">
        <v>0.2</v>
      </c>
    </row>
    <row r="19" spans="2:9" ht="45" customHeight="1" thickBot="1" x14ac:dyDescent="0.3">
      <c r="B19" s="273" t="s">
        <v>208</v>
      </c>
      <c r="C19" s="137" t="s">
        <v>205</v>
      </c>
      <c r="D19" s="348">
        <v>0</v>
      </c>
      <c r="E19" s="348">
        <v>0</v>
      </c>
      <c r="F19" s="366"/>
      <c r="G19" s="432" t="s">
        <v>206</v>
      </c>
      <c r="H19" s="407">
        <v>0.1</v>
      </c>
      <c r="I19" s="407">
        <v>0.1</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205</v>
      </c>
      <c r="D21" s="348">
        <v>0</v>
      </c>
      <c r="E21" s="348">
        <v>0</v>
      </c>
      <c r="F21" s="366"/>
      <c r="G21" s="432" t="s">
        <v>206</v>
      </c>
      <c r="H21" s="407">
        <v>0.1</v>
      </c>
      <c r="I21" s="407">
        <v>0.1</v>
      </c>
    </row>
    <row r="22" spans="2:9" ht="45" customHeight="1" thickBot="1" x14ac:dyDescent="0.3">
      <c r="B22" s="273" t="s">
        <v>289</v>
      </c>
      <c r="C22" s="137" t="s">
        <v>205</v>
      </c>
      <c r="D22" s="348">
        <v>0</v>
      </c>
      <c r="E22" s="348">
        <v>0</v>
      </c>
      <c r="F22" s="366"/>
      <c r="G22" s="432" t="s">
        <v>206</v>
      </c>
      <c r="H22" s="407">
        <v>0.1</v>
      </c>
      <c r="I22" s="407">
        <v>0.1</v>
      </c>
    </row>
    <row r="23" spans="2:9" ht="45" customHeight="1" thickBot="1" x14ac:dyDescent="0.3">
      <c r="B23" s="273" t="s">
        <v>290</v>
      </c>
      <c r="C23" s="138" t="s">
        <v>209</v>
      </c>
      <c r="D23" s="348">
        <v>0</v>
      </c>
      <c r="E23" s="348">
        <v>0</v>
      </c>
      <c r="F23" s="366"/>
      <c r="G23" s="432" t="s">
        <v>206</v>
      </c>
      <c r="H23" s="407">
        <v>0.05</v>
      </c>
      <c r="I23" s="407">
        <v>0.05</v>
      </c>
    </row>
    <row r="24" spans="2:9" ht="45" customHeight="1" thickBot="1" x14ac:dyDescent="0.3">
      <c r="B24" s="276" t="s">
        <v>291</v>
      </c>
      <c r="C24" s="279" t="s">
        <v>205</v>
      </c>
      <c r="D24" s="447">
        <v>0</v>
      </c>
      <c r="E24" s="447">
        <v>0</v>
      </c>
      <c r="F24" s="369"/>
      <c r="G24" s="432"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44">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2cQEHcKiVeexLOv1vdb0ujzSMULbCqeBHZ+4FlR2qvG1sdwd8pSfMlSNo4qJYM6qwG4h9TSlVebXTeQIPRzG4w==" saltValue="P5j8gqgLCDEDekxVv6Kn+Q=="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1074" priority="47" operator="lessThan">
      <formula>0%</formula>
    </cfRule>
    <cfRule type="cellIs" dxfId="1073" priority="48" operator="greaterThan">
      <formula>H17</formula>
    </cfRule>
    <cfRule type="cellIs" dxfId="1072" priority="49" operator="between">
      <formula>0%</formula>
      <formula>H17</formula>
    </cfRule>
  </conditionalFormatting>
  <conditionalFormatting sqref="E17">
    <cfRule type="cellIs" dxfId="1071" priority="44" operator="lessThan">
      <formula>0%</formula>
    </cfRule>
    <cfRule type="cellIs" dxfId="1070" priority="45" operator="greaterThan">
      <formula>I17</formula>
    </cfRule>
    <cfRule type="cellIs" dxfId="1069" priority="46" operator="between">
      <formula>0%</formula>
      <formula>I17</formula>
    </cfRule>
  </conditionalFormatting>
  <conditionalFormatting sqref="E18">
    <cfRule type="cellIs" dxfId="1068" priority="41" operator="lessThan">
      <formula>0%</formula>
    </cfRule>
    <cfRule type="cellIs" dxfId="1067" priority="42" operator="greaterThan">
      <formula>I18</formula>
    </cfRule>
    <cfRule type="cellIs" dxfId="1066" priority="43" operator="between">
      <formula>0%</formula>
      <formula>I18</formula>
    </cfRule>
  </conditionalFormatting>
  <conditionalFormatting sqref="D18">
    <cfRule type="cellIs" dxfId="1065" priority="38" operator="lessThan">
      <formula>0%</formula>
    </cfRule>
    <cfRule type="cellIs" dxfId="1064" priority="39" operator="greaterThan">
      <formula>H18</formula>
    </cfRule>
    <cfRule type="cellIs" dxfId="1063" priority="40" operator="between">
      <formula>0%</formula>
      <formula>H18</formula>
    </cfRule>
  </conditionalFormatting>
  <conditionalFormatting sqref="D19">
    <cfRule type="cellIs" dxfId="1062" priority="35" operator="lessThan">
      <formula>0%</formula>
    </cfRule>
    <cfRule type="cellIs" dxfId="1061" priority="36" operator="greaterThan">
      <formula>H19</formula>
    </cfRule>
    <cfRule type="cellIs" dxfId="1060" priority="37" operator="between">
      <formula>0%</formula>
      <formula>H19</formula>
    </cfRule>
  </conditionalFormatting>
  <conditionalFormatting sqref="E19">
    <cfRule type="cellIs" dxfId="1059" priority="32" operator="lessThan">
      <formula>0%</formula>
    </cfRule>
    <cfRule type="cellIs" dxfId="1058" priority="33" operator="greaterThan">
      <formula>I19</formula>
    </cfRule>
    <cfRule type="cellIs" dxfId="1057" priority="34" operator="between">
      <formula>0%</formula>
      <formula>I19</formula>
    </cfRule>
  </conditionalFormatting>
  <conditionalFormatting sqref="E20">
    <cfRule type="cellIs" dxfId="1056" priority="29" operator="lessThan">
      <formula>0%</formula>
    </cfRule>
    <cfRule type="cellIs" dxfId="1055" priority="30" operator="greaterThan">
      <formula>I20</formula>
    </cfRule>
    <cfRule type="cellIs" dxfId="1054" priority="31" operator="between">
      <formula>0%</formula>
      <formula>I20</formula>
    </cfRule>
  </conditionalFormatting>
  <conditionalFormatting sqref="D20">
    <cfRule type="cellIs" dxfId="1053" priority="26" operator="lessThan">
      <formula>0%</formula>
    </cfRule>
    <cfRule type="cellIs" dxfId="1052" priority="27" operator="greaterThan">
      <formula>H20</formula>
    </cfRule>
    <cfRule type="cellIs" dxfId="1051" priority="28" operator="between">
      <formula>0%</formula>
      <formula>H20</formula>
    </cfRule>
  </conditionalFormatting>
  <conditionalFormatting sqref="D21">
    <cfRule type="cellIs" dxfId="1050" priority="23" operator="lessThan">
      <formula>0%</formula>
    </cfRule>
    <cfRule type="cellIs" dxfId="1049" priority="24" operator="greaterThan">
      <formula>H21</formula>
    </cfRule>
    <cfRule type="cellIs" dxfId="1048" priority="25" operator="between">
      <formula>0%</formula>
      <formula>H21</formula>
    </cfRule>
  </conditionalFormatting>
  <conditionalFormatting sqref="E21">
    <cfRule type="cellIs" dxfId="1047" priority="20" operator="lessThan">
      <formula>0%</formula>
    </cfRule>
    <cfRule type="cellIs" dxfId="1046" priority="21" operator="greaterThan">
      <formula>I21</formula>
    </cfRule>
    <cfRule type="cellIs" dxfId="1045" priority="22" operator="between">
      <formula>0%</formula>
      <formula>I21</formula>
    </cfRule>
  </conditionalFormatting>
  <conditionalFormatting sqref="E22">
    <cfRule type="cellIs" dxfId="1044" priority="17" operator="lessThan">
      <formula>0%</formula>
    </cfRule>
    <cfRule type="cellIs" dxfId="1043" priority="18" operator="greaterThan">
      <formula>I22</formula>
    </cfRule>
    <cfRule type="cellIs" dxfId="1042" priority="19" operator="between">
      <formula>0%</formula>
      <formula>I22</formula>
    </cfRule>
  </conditionalFormatting>
  <conditionalFormatting sqref="D22">
    <cfRule type="cellIs" dxfId="1041" priority="14" operator="lessThan">
      <formula>0%</formula>
    </cfRule>
    <cfRule type="cellIs" dxfId="1040" priority="15" operator="greaterThan">
      <formula>H22</formula>
    </cfRule>
    <cfRule type="cellIs" dxfId="1039" priority="16" operator="between">
      <formula>0%</formula>
      <formula>H22</formula>
    </cfRule>
  </conditionalFormatting>
  <conditionalFormatting sqref="D23">
    <cfRule type="cellIs" dxfId="1038" priority="11" operator="lessThan">
      <formula>0%</formula>
    </cfRule>
    <cfRule type="cellIs" dxfId="1037" priority="12" operator="greaterThan">
      <formula>H23</formula>
    </cfRule>
    <cfRule type="cellIs" dxfId="1036" priority="13" operator="between">
      <formula>0%</formula>
      <formula>H23</formula>
    </cfRule>
  </conditionalFormatting>
  <conditionalFormatting sqref="E23">
    <cfRule type="cellIs" dxfId="1035" priority="8" operator="lessThan">
      <formula>0%</formula>
    </cfRule>
    <cfRule type="cellIs" dxfId="1034" priority="9" operator="greaterThan">
      <formula>I23</formula>
    </cfRule>
    <cfRule type="cellIs" dxfId="1033" priority="10" operator="between">
      <formula>0%</formula>
      <formula>I23</formula>
    </cfRule>
  </conditionalFormatting>
  <conditionalFormatting sqref="E24">
    <cfRule type="cellIs" dxfId="1032" priority="5" operator="lessThan">
      <formula>0%</formula>
    </cfRule>
    <cfRule type="cellIs" dxfId="1031" priority="6" operator="greaterThan">
      <formula>I24</formula>
    </cfRule>
    <cfRule type="cellIs" dxfId="1030" priority="7" operator="between">
      <formula>0%</formula>
      <formula>I24</formula>
    </cfRule>
  </conditionalFormatting>
  <conditionalFormatting sqref="D24">
    <cfRule type="cellIs" dxfId="1029" priority="2" operator="lessThan">
      <formula>0%</formula>
    </cfRule>
    <cfRule type="cellIs" dxfId="1028" priority="3" operator="greaterThan">
      <formula>H24</formula>
    </cfRule>
    <cfRule type="cellIs" dxfId="1027" priority="4"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936B9FF9-477A-49EC-8238-E0011241B2CE}">
            <xm:f>-1 * 'STATE CODES (NUM) &amp; MIN-MAX'!$E$22</xm:f>
            <xm:f>'STATE CODES (NUM) &amp; MIN-MAX'!$E$22</xm:f>
            <x14:dxf>
              <font>
                <color theme="5" tint="-0.499984740745262"/>
              </font>
              <fill>
                <patternFill>
                  <bgColor rgb="FFFFCCCC"/>
                </patternFill>
              </fill>
            </x14:dxf>
          </x14:cfRule>
          <xm:sqref>E27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5">
    <pageSetUpPr fitToPage="1"/>
  </sheetPr>
  <dimension ref="A2:I28"/>
  <sheetViews>
    <sheetView showGridLines="0" showRowColHeaders="0" topLeftCell="A3"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117</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customFormat="1" x14ac:dyDescent="0.25">
      <c r="A7" s="22"/>
      <c r="B7" s="22"/>
      <c r="C7" s="22"/>
      <c r="D7" s="22"/>
      <c r="E7" s="22"/>
      <c r="F7" s="22"/>
      <c r="G7" s="22"/>
      <c r="H7" s="22"/>
    </row>
    <row r="8" spans="1:8" ht="15.75" x14ac:dyDescent="0.25">
      <c r="B8" s="252" t="s">
        <v>224</v>
      </c>
      <c r="C8" s="345"/>
      <c r="D8" s="252"/>
      <c r="E8" s="252" t="s">
        <v>195</v>
      </c>
      <c r="F8" s="509" t="str">
        <f>IF('Worksheet Prep'!C5&lt;&gt;"",'Worksheet Prep'!C5,"")</f>
        <v/>
      </c>
      <c r="G8" s="509"/>
      <c r="H8" s="95"/>
    </row>
    <row r="9" spans="1:8" customFormat="1" x14ac:dyDescent="0.25">
      <c r="A9" s="22"/>
      <c r="B9" s="22"/>
      <c r="C9" s="22"/>
      <c r="D9" s="22"/>
      <c r="E9" s="22"/>
      <c r="F9" s="22"/>
      <c r="G9" s="22"/>
      <c r="H9" s="22"/>
    </row>
    <row r="10" spans="1:8" ht="15.75" x14ac:dyDescent="0.25">
      <c r="B10" s="252" t="s">
        <v>196</v>
      </c>
      <c r="C10" s="242" t="str">
        <f>'Additional Info'!F2</f>
        <v>Praetorian Insurance - 3501</v>
      </c>
      <c r="D10" s="252"/>
      <c r="E10" s="252" t="s">
        <v>299</v>
      </c>
      <c r="F10" s="132" t="str">
        <f>B4</f>
        <v>MARYLAND</v>
      </c>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customHeight="1" thickBot="1" x14ac:dyDescent="0.3">
      <c r="B16" s="658"/>
      <c r="C16" s="498"/>
      <c r="D16" s="498"/>
      <c r="E16" s="498"/>
      <c r="F16" s="498"/>
      <c r="G16" s="498"/>
    </row>
    <row r="17" spans="2:9" ht="45" customHeight="1" thickBot="1" x14ac:dyDescent="0.3">
      <c r="B17" s="262" t="s">
        <v>204</v>
      </c>
      <c r="C17" s="135" t="s">
        <v>205</v>
      </c>
      <c r="D17" s="346">
        <v>0</v>
      </c>
      <c r="E17" s="346">
        <v>0</v>
      </c>
      <c r="F17" s="364"/>
      <c r="G17" s="431" t="s">
        <v>206</v>
      </c>
      <c r="H17" s="407">
        <v>0.1</v>
      </c>
      <c r="I17" s="407">
        <v>0.1</v>
      </c>
    </row>
    <row r="18" spans="2:9" ht="45" customHeight="1" thickBot="1" x14ac:dyDescent="0.3">
      <c r="B18" s="263" t="s">
        <v>207</v>
      </c>
      <c r="C18" s="136" t="s">
        <v>205</v>
      </c>
      <c r="D18" s="348">
        <v>0</v>
      </c>
      <c r="E18" s="348">
        <v>0</v>
      </c>
      <c r="F18" s="366"/>
      <c r="G18" s="432" t="s">
        <v>206</v>
      </c>
      <c r="H18" s="407">
        <v>0.1</v>
      </c>
      <c r="I18" s="407">
        <v>0.1</v>
      </c>
    </row>
    <row r="19" spans="2:9" ht="45" customHeight="1" thickBot="1" x14ac:dyDescent="0.3">
      <c r="B19" s="263" t="s">
        <v>208</v>
      </c>
      <c r="C19" s="137" t="s">
        <v>209</v>
      </c>
      <c r="D19" s="348">
        <v>0</v>
      </c>
      <c r="E19" s="348">
        <v>0</v>
      </c>
      <c r="F19" s="366"/>
      <c r="G19" s="432" t="s">
        <v>206</v>
      </c>
      <c r="H19" s="407">
        <v>0.05</v>
      </c>
      <c r="I19" s="407">
        <v>0.05</v>
      </c>
    </row>
    <row r="20" spans="2:9" ht="45" customHeight="1" thickBot="1" x14ac:dyDescent="0.3">
      <c r="B20" s="263" t="s">
        <v>288</v>
      </c>
      <c r="C20" s="137" t="s">
        <v>205</v>
      </c>
      <c r="D20" s="348">
        <v>0</v>
      </c>
      <c r="E20" s="348">
        <v>0</v>
      </c>
      <c r="F20" s="366"/>
      <c r="G20" s="432" t="s">
        <v>206</v>
      </c>
      <c r="H20" s="407">
        <v>0.1</v>
      </c>
      <c r="I20" s="407">
        <v>0.1</v>
      </c>
    </row>
    <row r="21" spans="2:9" ht="45" customHeight="1" thickBot="1" x14ac:dyDescent="0.3">
      <c r="B21" s="263" t="s">
        <v>210</v>
      </c>
      <c r="C21" s="137" t="s">
        <v>209</v>
      </c>
      <c r="D21" s="348">
        <v>0</v>
      </c>
      <c r="E21" s="348">
        <v>0</v>
      </c>
      <c r="F21" s="366"/>
      <c r="G21" s="432" t="s">
        <v>206</v>
      </c>
      <c r="H21" s="407">
        <v>0.05</v>
      </c>
      <c r="I21" s="407">
        <v>0.05</v>
      </c>
    </row>
    <row r="22" spans="2:9" ht="45" customHeight="1" thickBot="1" x14ac:dyDescent="0.3">
      <c r="B22" s="263" t="s">
        <v>289</v>
      </c>
      <c r="C22" s="137" t="s">
        <v>209</v>
      </c>
      <c r="D22" s="348">
        <v>0</v>
      </c>
      <c r="E22" s="348">
        <v>0</v>
      </c>
      <c r="F22" s="366"/>
      <c r="G22" s="432" t="s">
        <v>206</v>
      </c>
      <c r="H22" s="407">
        <v>0.05</v>
      </c>
      <c r="I22" s="407">
        <v>0.05</v>
      </c>
    </row>
    <row r="23" spans="2:9" ht="45" customHeight="1" thickBot="1" x14ac:dyDescent="0.3">
      <c r="B23" s="98"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6k+ojepeRujwe18RoCKWeaMc6cMAxUA/xIoTW5iu9PDLZsDYbJ1TGAct9mzbtf0rwUbMq/6/LgJzgkY0NcdGqw==" saltValue="qjw16XZNt2h66kqqoZIwxQ==" spinCount="100000" sheet="1" objects="1" scenarios="1" selectLockedCells="1"/>
  <mergeCells count="14">
    <mergeCell ref="C28:D28"/>
    <mergeCell ref="B13:G14"/>
    <mergeCell ref="B15:B16"/>
    <mergeCell ref="C15:C16"/>
    <mergeCell ref="D15:D16"/>
    <mergeCell ref="E15:E16"/>
    <mergeCell ref="F15:F16"/>
    <mergeCell ref="G15:G16"/>
    <mergeCell ref="F26:G26"/>
    <mergeCell ref="D11:E11"/>
    <mergeCell ref="F6:G6"/>
    <mergeCell ref="F8:G8"/>
    <mergeCell ref="B2:G2"/>
    <mergeCell ref="B4:G4"/>
  </mergeCells>
  <conditionalFormatting sqref="D17">
    <cfRule type="cellIs" dxfId="1025" priority="41" operator="lessThan">
      <formula>0%</formula>
    </cfRule>
    <cfRule type="cellIs" dxfId="1024" priority="42" operator="greaterThan">
      <formula>H17</formula>
    </cfRule>
    <cfRule type="cellIs" dxfId="1023" priority="43" operator="between">
      <formula>0%</formula>
      <formula>H17</formula>
    </cfRule>
  </conditionalFormatting>
  <conditionalFormatting sqref="E17">
    <cfRule type="cellIs" dxfId="1022" priority="38" operator="lessThan">
      <formula>0%</formula>
    </cfRule>
    <cfRule type="cellIs" dxfId="1021" priority="39" operator="greaterThan">
      <formula>I17</formula>
    </cfRule>
    <cfRule type="cellIs" dxfId="1020" priority="40" operator="between">
      <formula>0%</formula>
      <formula>I17</formula>
    </cfRule>
  </conditionalFormatting>
  <conditionalFormatting sqref="E18">
    <cfRule type="cellIs" dxfId="1019" priority="35" operator="lessThan">
      <formula>0%</formula>
    </cfRule>
    <cfRule type="cellIs" dxfId="1018" priority="36" operator="greaterThan">
      <formula>I18</formula>
    </cfRule>
    <cfRule type="cellIs" dxfId="1017" priority="37" operator="between">
      <formula>0%</formula>
      <formula>I18</formula>
    </cfRule>
  </conditionalFormatting>
  <conditionalFormatting sqref="D18">
    <cfRule type="cellIs" dxfId="1016" priority="32" operator="lessThan">
      <formula>0%</formula>
    </cfRule>
    <cfRule type="cellIs" dxfId="1015" priority="33" operator="greaterThan">
      <formula>H18</formula>
    </cfRule>
    <cfRule type="cellIs" dxfId="1014" priority="34" operator="between">
      <formula>0%</formula>
      <formula>H18</formula>
    </cfRule>
  </conditionalFormatting>
  <conditionalFormatting sqref="D19">
    <cfRule type="cellIs" dxfId="1013" priority="29" operator="lessThan">
      <formula>0%</formula>
    </cfRule>
    <cfRule type="cellIs" dxfId="1012" priority="30" operator="greaterThan">
      <formula>H19</formula>
    </cfRule>
    <cfRule type="cellIs" dxfId="1011" priority="31" operator="between">
      <formula>0%</formula>
      <formula>H19</formula>
    </cfRule>
  </conditionalFormatting>
  <conditionalFormatting sqref="E19">
    <cfRule type="cellIs" dxfId="1010" priority="26" operator="lessThan">
      <formula>0%</formula>
    </cfRule>
    <cfRule type="cellIs" dxfId="1009" priority="27" operator="greaterThan">
      <formula>I19</formula>
    </cfRule>
    <cfRule type="cellIs" dxfId="1008" priority="28" operator="between">
      <formula>0%</formula>
      <formula>I19</formula>
    </cfRule>
  </conditionalFormatting>
  <conditionalFormatting sqref="E20">
    <cfRule type="cellIs" dxfId="1007" priority="23" operator="lessThan">
      <formula>0%</formula>
    </cfRule>
    <cfRule type="cellIs" dxfId="1006" priority="24" operator="greaterThan">
      <formula>I20</formula>
    </cfRule>
    <cfRule type="cellIs" dxfId="1005" priority="25" operator="between">
      <formula>0%</formula>
      <formula>I20</formula>
    </cfRule>
  </conditionalFormatting>
  <conditionalFormatting sqref="D20">
    <cfRule type="cellIs" dxfId="1004" priority="20" operator="lessThan">
      <formula>0%</formula>
    </cfRule>
    <cfRule type="cellIs" dxfId="1003" priority="21" operator="greaterThan">
      <formula>H20</formula>
    </cfRule>
    <cfRule type="cellIs" dxfId="1002" priority="22" operator="between">
      <formula>0%</formula>
      <formula>H20</formula>
    </cfRule>
  </conditionalFormatting>
  <conditionalFormatting sqref="D21">
    <cfRule type="cellIs" dxfId="1001" priority="17" operator="lessThan">
      <formula>0%</formula>
    </cfRule>
    <cfRule type="cellIs" dxfId="1000" priority="18" operator="greaterThan">
      <formula>H21</formula>
    </cfRule>
    <cfRule type="cellIs" dxfId="999" priority="19" operator="between">
      <formula>0%</formula>
      <formula>H21</formula>
    </cfRule>
  </conditionalFormatting>
  <conditionalFormatting sqref="E21">
    <cfRule type="cellIs" dxfId="998" priority="14" operator="lessThan">
      <formula>0%</formula>
    </cfRule>
    <cfRule type="cellIs" dxfId="997" priority="15" operator="greaterThan">
      <formula>I21</formula>
    </cfRule>
    <cfRule type="cellIs" dxfId="996" priority="16" operator="between">
      <formula>0%</formula>
      <formula>I21</formula>
    </cfRule>
  </conditionalFormatting>
  <conditionalFormatting sqref="E22">
    <cfRule type="cellIs" dxfId="995" priority="11" operator="lessThan">
      <formula>0%</formula>
    </cfRule>
    <cfRule type="cellIs" dxfId="994" priority="12" operator="greaterThan">
      <formula>I22</formula>
    </cfRule>
    <cfRule type="cellIs" dxfId="993" priority="13" operator="between">
      <formula>0%</formula>
      <formula>I22</formula>
    </cfRule>
  </conditionalFormatting>
  <conditionalFormatting sqref="D22">
    <cfRule type="cellIs" dxfId="992" priority="8" operator="lessThan">
      <formula>0%</formula>
    </cfRule>
    <cfRule type="cellIs" dxfId="991" priority="9" operator="greaterThan">
      <formula>H22</formula>
    </cfRule>
    <cfRule type="cellIs" dxfId="990" priority="10" operator="between">
      <formula>0%</formula>
      <formula>H22</formula>
    </cfRule>
  </conditionalFormatting>
  <conditionalFormatting sqref="D23">
    <cfRule type="cellIs" dxfId="989" priority="5" operator="lessThan">
      <formula>0%</formula>
    </cfRule>
    <cfRule type="cellIs" dxfId="988" priority="6" operator="greaterThan">
      <formula>H23</formula>
    </cfRule>
    <cfRule type="cellIs" dxfId="987" priority="7" operator="between">
      <formula>0%</formula>
      <formula>H23</formula>
    </cfRule>
  </conditionalFormatting>
  <conditionalFormatting sqref="E23">
    <cfRule type="cellIs" dxfId="986" priority="2" operator="lessThan">
      <formula>0%</formula>
    </cfRule>
    <cfRule type="cellIs" dxfId="985" priority="3" operator="greaterThan">
      <formula>I23</formula>
    </cfRule>
    <cfRule type="cellIs" dxfId="984" priority="4"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13959725-F407-4D27-B788-EFE17274E7C6}">
            <xm:f>-1 * 'STATE CODES (NUM) &amp; MIN-MAX'!$E$23</xm:f>
            <xm:f>'STATE CODES (NUM) &amp; MIN-MAX'!$E$23</xm:f>
            <x14:dxf>
              <font>
                <color theme="5" tint="-0.499984740745262"/>
              </font>
              <fill>
                <patternFill>
                  <bgColor rgb="FFFFCCCC"/>
                </patternFill>
              </fill>
            </x14:dxf>
          </x14:cfRule>
          <xm:sqref>E26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6">
    <pageSetUpPr fitToPage="1"/>
  </sheetPr>
  <dimension ref="B2:I31"/>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118</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52"/>
      <c r="E6" s="252" t="s">
        <v>194</v>
      </c>
      <c r="F6" s="508" t="str">
        <f>IF('Worksheet Prep'!G5&lt;&gt;"",'Worksheet Prep'!G5,"")</f>
        <v/>
      </c>
      <c r="G6" s="508"/>
      <c r="H6" s="94"/>
    </row>
    <row r="7" spans="2:8" s="145" customFormat="1" ht="15.75" x14ac:dyDescent="0.25">
      <c r="B7" s="241"/>
      <c r="C7" s="97"/>
      <c r="D7" s="241"/>
      <c r="E7" s="97"/>
      <c r="F7" s="97"/>
      <c r="G7" s="97"/>
      <c r="H7" s="94"/>
    </row>
    <row r="8" spans="2:8" ht="15.75" x14ac:dyDescent="0.25">
      <c r="B8" s="252" t="s">
        <v>224</v>
      </c>
      <c r="C8" s="345"/>
      <c r="D8" s="252"/>
      <c r="E8" s="241" t="s">
        <v>195</v>
      </c>
      <c r="F8" s="509" t="str">
        <f>IF('Worksheet Prep'!C5&lt;&gt;"",'Worksheet Prep'!C5,"")</f>
        <v/>
      </c>
      <c r="G8" s="509"/>
      <c r="H8" s="95"/>
    </row>
    <row r="9" spans="2:8" s="145" customFormat="1" ht="15.75" x14ac:dyDescent="0.25">
      <c r="B9" s="241"/>
      <c r="C9" s="97"/>
      <c r="D9" s="241"/>
      <c r="E9" s="126"/>
      <c r="F9" s="143"/>
      <c r="G9" s="143"/>
      <c r="H9" s="95"/>
    </row>
    <row r="10" spans="2:8" ht="15.75" x14ac:dyDescent="0.25">
      <c r="B10" s="252" t="s">
        <v>196</v>
      </c>
      <c r="C10" s="242" t="str">
        <f>'Additional Info'!F2</f>
        <v>Praetorian Insurance - 3501</v>
      </c>
      <c r="D10" s="252"/>
      <c r="E10" s="252" t="s">
        <v>299</v>
      </c>
      <c r="F10" s="132" t="str">
        <f>B4</f>
        <v>MICHIGAN</v>
      </c>
      <c r="G10" s="101"/>
    </row>
    <row r="11" spans="2:8" ht="24" customHeight="1" x14ac:dyDescent="0.25">
      <c r="B11" s="252" t="s">
        <v>197</v>
      </c>
      <c r="C11" s="96">
        <f>VLOOKUP(C10,'STATE CODES (NUM) &amp; MIN-MAX'!B56:D58,3,FALSE)</f>
        <v>21172</v>
      </c>
      <c r="D11" s="101"/>
      <c r="E11" s="101"/>
      <c r="F11" s="93"/>
      <c r="G11" s="93"/>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2" t="s">
        <v>204</v>
      </c>
      <c r="C17" s="278" t="s">
        <v>205</v>
      </c>
      <c r="D17" s="346">
        <v>0</v>
      </c>
      <c r="E17" s="346">
        <v>0</v>
      </c>
      <c r="F17" s="364"/>
      <c r="G17" s="431" t="s">
        <v>206</v>
      </c>
      <c r="H17" s="407">
        <v>0.1</v>
      </c>
      <c r="I17" s="407">
        <v>0.1</v>
      </c>
    </row>
    <row r="18" spans="2:9" ht="45" customHeight="1" thickBot="1" x14ac:dyDescent="0.3">
      <c r="B18" s="273" t="s">
        <v>207</v>
      </c>
      <c r="C18" s="138" t="s">
        <v>205</v>
      </c>
      <c r="D18" s="348">
        <v>0</v>
      </c>
      <c r="E18" s="348">
        <v>0</v>
      </c>
      <c r="F18" s="366"/>
      <c r="G18" s="432" t="s">
        <v>206</v>
      </c>
      <c r="H18" s="407">
        <v>0.1</v>
      </c>
      <c r="I18" s="407">
        <v>0.1</v>
      </c>
    </row>
    <row r="19" spans="2:9" ht="45" customHeight="1" thickBot="1" x14ac:dyDescent="0.3">
      <c r="B19" s="273" t="s">
        <v>208</v>
      </c>
      <c r="C19" s="137" t="s">
        <v>205</v>
      </c>
      <c r="D19" s="348">
        <v>0</v>
      </c>
      <c r="E19" s="348">
        <v>0</v>
      </c>
      <c r="F19" s="366"/>
      <c r="G19" s="432" t="s">
        <v>206</v>
      </c>
      <c r="H19" s="407">
        <v>0.1</v>
      </c>
      <c r="I19" s="407">
        <v>0.1</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205</v>
      </c>
      <c r="D21" s="348">
        <v>0</v>
      </c>
      <c r="E21" s="348">
        <v>0</v>
      </c>
      <c r="F21" s="366"/>
      <c r="G21" s="432" t="s">
        <v>206</v>
      </c>
      <c r="H21" s="407">
        <v>0.1</v>
      </c>
      <c r="I21" s="407">
        <v>0.1</v>
      </c>
    </row>
    <row r="22" spans="2:9" ht="45" customHeight="1" thickBot="1" x14ac:dyDescent="0.3">
      <c r="B22" s="273" t="s">
        <v>289</v>
      </c>
      <c r="C22" s="137" t="s">
        <v>205</v>
      </c>
      <c r="D22" s="348">
        <v>0</v>
      </c>
      <c r="E22" s="348">
        <v>0</v>
      </c>
      <c r="F22" s="366"/>
      <c r="G22" s="432" t="s">
        <v>206</v>
      </c>
      <c r="H22" s="407">
        <v>0.1</v>
      </c>
      <c r="I22" s="407">
        <v>0.1</v>
      </c>
    </row>
    <row r="23" spans="2:9" ht="45" customHeight="1" thickBot="1" x14ac:dyDescent="0.3">
      <c r="B23" s="273" t="s">
        <v>290</v>
      </c>
      <c r="C23" s="138" t="s">
        <v>209</v>
      </c>
      <c r="D23" s="348">
        <v>0</v>
      </c>
      <c r="E23" s="348">
        <v>0</v>
      </c>
      <c r="F23" s="366"/>
      <c r="G23" s="432" t="s">
        <v>206</v>
      </c>
      <c r="H23" s="407">
        <v>0.05</v>
      </c>
      <c r="I23" s="407">
        <v>0.05</v>
      </c>
    </row>
    <row r="24" spans="2:9" ht="45" customHeight="1" thickBot="1" x14ac:dyDescent="0.3">
      <c r="B24" s="289" t="s">
        <v>291</v>
      </c>
      <c r="C24" s="279" t="s">
        <v>205</v>
      </c>
      <c r="D24" s="447">
        <v>0</v>
      </c>
      <c r="E24" s="447">
        <v>0</v>
      </c>
      <c r="F24" s="369"/>
      <c r="G24" s="433"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44">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row r="31" spans="2:9" x14ac:dyDescent="0.25">
      <c r="B31" s="290" t="s">
        <v>315</v>
      </c>
    </row>
  </sheetData>
  <sheetProtection algorithmName="SHA-512" hashValue="30LrwisaAn170wNtPqeXP8SBjRoCDY/HgHddWsOFJx2EfReG0EsEkEnOGXN+7MRagH7LML+hp/anGSHFi5vCgA==" saltValue="lqT49e+ol7SeQabDFAgw1Q=="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982" priority="46" operator="lessThan">
      <formula>0%</formula>
    </cfRule>
    <cfRule type="cellIs" dxfId="981" priority="47" operator="greaterThan">
      <formula>H17</formula>
    </cfRule>
    <cfRule type="cellIs" dxfId="980" priority="48" operator="between">
      <formula>0%</formula>
      <formula>H17</formula>
    </cfRule>
  </conditionalFormatting>
  <conditionalFormatting sqref="E17">
    <cfRule type="cellIs" dxfId="979" priority="43" operator="lessThan">
      <formula>0%</formula>
    </cfRule>
    <cfRule type="cellIs" dxfId="978" priority="44" operator="greaterThan">
      <formula>I17</formula>
    </cfRule>
    <cfRule type="cellIs" dxfId="977" priority="45" operator="between">
      <formula>0%</formula>
      <formula>I17</formula>
    </cfRule>
  </conditionalFormatting>
  <conditionalFormatting sqref="E18">
    <cfRule type="cellIs" dxfId="976" priority="40" operator="lessThan">
      <formula>0%</formula>
    </cfRule>
    <cfRule type="cellIs" dxfId="975" priority="41" operator="greaterThan">
      <formula>I18</formula>
    </cfRule>
    <cfRule type="cellIs" dxfId="974" priority="42" operator="between">
      <formula>0%</formula>
      <formula>I18</formula>
    </cfRule>
  </conditionalFormatting>
  <conditionalFormatting sqref="D18">
    <cfRule type="cellIs" dxfId="973" priority="37" operator="lessThan">
      <formula>0%</formula>
    </cfRule>
    <cfRule type="cellIs" dxfId="972" priority="38" operator="greaterThan">
      <formula>H18</formula>
    </cfRule>
    <cfRule type="cellIs" dxfId="971" priority="39" operator="between">
      <formula>0%</formula>
      <formula>H18</formula>
    </cfRule>
  </conditionalFormatting>
  <conditionalFormatting sqref="D19">
    <cfRule type="cellIs" dxfId="970" priority="34" operator="lessThan">
      <formula>0%</formula>
    </cfRule>
    <cfRule type="cellIs" dxfId="969" priority="35" operator="greaterThan">
      <formula>H19</formula>
    </cfRule>
    <cfRule type="cellIs" dxfId="968" priority="36" operator="between">
      <formula>0%</formula>
      <formula>H19</formula>
    </cfRule>
  </conditionalFormatting>
  <conditionalFormatting sqref="E19">
    <cfRule type="cellIs" dxfId="967" priority="31" operator="lessThan">
      <formula>0%</formula>
    </cfRule>
    <cfRule type="cellIs" dxfId="966" priority="32" operator="greaterThan">
      <formula>I19</formula>
    </cfRule>
    <cfRule type="cellIs" dxfId="965" priority="33" operator="between">
      <formula>0%</formula>
      <formula>I19</formula>
    </cfRule>
  </conditionalFormatting>
  <conditionalFormatting sqref="E20">
    <cfRule type="cellIs" dxfId="964" priority="28" operator="lessThan">
      <formula>0%</formula>
    </cfRule>
    <cfRule type="cellIs" dxfId="963" priority="29" operator="greaterThan">
      <formula>I20</formula>
    </cfRule>
    <cfRule type="cellIs" dxfId="962" priority="30" operator="between">
      <formula>0%</formula>
      <formula>I20</formula>
    </cfRule>
  </conditionalFormatting>
  <conditionalFormatting sqref="D20">
    <cfRule type="cellIs" dxfId="961" priority="25" operator="lessThan">
      <formula>0%</formula>
    </cfRule>
    <cfRule type="cellIs" dxfId="960" priority="26" operator="greaterThan">
      <formula>H20</formula>
    </cfRule>
    <cfRule type="cellIs" dxfId="959" priority="27" operator="between">
      <formula>0%</formula>
      <formula>H20</formula>
    </cfRule>
  </conditionalFormatting>
  <conditionalFormatting sqref="D21">
    <cfRule type="cellIs" dxfId="958" priority="22" operator="lessThan">
      <formula>0%</formula>
    </cfRule>
    <cfRule type="cellIs" dxfId="957" priority="23" operator="greaterThan">
      <formula>H21</formula>
    </cfRule>
    <cfRule type="cellIs" dxfId="956" priority="24" operator="between">
      <formula>0%</formula>
      <formula>H21</formula>
    </cfRule>
  </conditionalFormatting>
  <conditionalFormatting sqref="E21">
    <cfRule type="cellIs" dxfId="955" priority="19" operator="lessThan">
      <formula>0%</formula>
    </cfRule>
    <cfRule type="cellIs" dxfId="954" priority="20" operator="greaterThan">
      <formula>I21</formula>
    </cfRule>
    <cfRule type="cellIs" dxfId="953" priority="21" operator="between">
      <formula>0%</formula>
      <formula>I21</formula>
    </cfRule>
  </conditionalFormatting>
  <conditionalFormatting sqref="E22">
    <cfRule type="cellIs" dxfId="952" priority="16" operator="lessThan">
      <formula>0%</formula>
    </cfRule>
    <cfRule type="cellIs" dxfId="951" priority="17" operator="greaterThan">
      <formula>I22</formula>
    </cfRule>
    <cfRule type="cellIs" dxfId="950" priority="18" operator="between">
      <formula>0%</formula>
      <formula>I22</formula>
    </cfRule>
  </conditionalFormatting>
  <conditionalFormatting sqref="D22">
    <cfRule type="cellIs" dxfId="949" priority="13" operator="lessThan">
      <formula>0%</formula>
    </cfRule>
    <cfRule type="cellIs" dxfId="948" priority="14" operator="greaterThan">
      <formula>H22</formula>
    </cfRule>
    <cfRule type="cellIs" dxfId="947" priority="15" operator="between">
      <formula>0%</formula>
      <formula>H22</formula>
    </cfRule>
  </conditionalFormatting>
  <conditionalFormatting sqref="D23">
    <cfRule type="cellIs" dxfId="946" priority="10" operator="lessThan">
      <formula>0%</formula>
    </cfRule>
    <cfRule type="cellIs" dxfId="945" priority="11" operator="greaterThan">
      <formula>H23</formula>
    </cfRule>
    <cfRule type="cellIs" dxfId="944" priority="12" operator="between">
      <formula>0%</formula>
      <formula>H23</formula>
    </cfRule>
  </conditionalFormatting>
  <conditionalFormatting sqref="D24">
    <cfRule type="cellIs" dxfId="943" priority="7" operator="lessThan">
      <formula>0%</formula>
    </cfRule>
    <cfRule type="cellIs" dxfId="942" priority="8" operator="greaterThan">
      <formula>H24</formula>
    </cfRule>
    <cfRule type="cellIs" dxfId="941" priority="9" operator="between">
      <formula>0%</formula>
      <formula>H24</formula>
    </cfRule>
  </conditionalFormatting>
  <conditionalFormatting sqref="E24">
    <cfRule type="cellIs" dxfId="940" priority="4" operator="lessThan">
      <formula>0%</formula>
    </cfRule>
    <cfRule type="cellIs" dxfId="939" priority="5" operator="greaterThan">
      <formula>I24</formula>
    </cfRule>
    <cfRule type="cellIs" dxfId="938" priority="6" operator="between">
      <formula>0%</formula>
      <formula>I24</formula>
    </cfRule>
  </conditionalFormatting>
  <conditionalFormatting sqref="E23">
    <cfRule type="cellIs" dxfId="937" priority="1" operator="lessThan">
      <formula>0%</formula>
    </cfRule>
    <cfRule type="cellIs" dxfId="936" priority="2" operator="greaterThan">
      <formula>I23</formula>
    </cfRule>
    <cfRule type="cellIs" dxfId="935"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9" operator="notBetween" id="{386C817A-7ED7-41D3-9256-8006D0442DA5}">
            <xm:f>-1 * 'STATE CODES (NUM) &amp; MIN-MAX'!$E$25</xm:f>
            <xm:f>'STATE CODES (NUM) &amp; MIN-MAX'!$E$25</xm:f>
            <x14:dxf>
              <font>
                <color theme="5" tint="-0.499984740745262"/>
              </font>
              <fill>
                <patternFill>
                  <bgColor rgb="FFFFCCCC"/>
                </patternFill>
              </fill>
            </x14:dxf>
          </x14:cfRule>
          <xm:sqref>E27</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7">
    <pageSetUpPr fitToPage="1"/>
  </sheetPr>
  <dimension ref="B2:I29"/>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119</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52"/>
      <c r="E6" s="252" t="s">
        <v>194</v>
      </c>
      <c r="F6" s="508" t="str">
        <f>IF('Worksheet Prep'!G5&lt;&gt;"",'Worksheet Prep'!G5,"")</f>
        <v/>
      </c>
      <c r="G6" s="508"/>
      <c r="H6" s="94"/>
    </row>
    <row r="7" spans="2:8" s="145" customFormat="1" ht="15.75" x14ac:dyDescent="0.25">
      <c r="B7" s="241"/>
      <c r="C7" s="97"/>
      <c r="D7" s="241"/>
      <c r="E7" s="241"/>
      <c r="F7" s="134"/>
      <c r="G7" s="134"/>
      <c r="H7" s="94"/>
    </row>
    <row r="8" spans="2:8" ht="15.75" x14ac:dyDescent="0.25">
      <c r="B8" s="252" t="s">
        <v>224</v>
      </c>
      <c r="C8" s="345"/>
      <c r="D8" s="252"/>
      <c r="E8" s="252" t="s">
        <v>195</v>
      </c>
      <c r="F8" s="509" t="str">
        <f>IF('Worksheet Prep'!C5&lt;&gt;"",'Worksheet Prep'!C5,"")</f>
        <v/>
      </c>
      <c r="G8" s="509"/>
      <c r="H8" s="95"/>
    </row>
    <row r="9" spans="2:8" s="145" customFormat="1" ht="15.75" x14ac:dyDescent="0.25">
      <c r="B9" s="241"/>
      <c r="C9" s="97"/>
      <c r="D9" s="241"/>
      <c r="E9" s="241"/>
      <c r="F9" s="133"/>
      <c r="G9" s="133"/>
      <c r="H9" s="95"/>
    </row>
    <row r="10" spans="2:8" ht="15.75" x14ac:dyDescent="0.25">
      <c r="B10" s="252" t="s">
        <v>196</v>
      </c>
      <c r="C10" s="242" t="str">
        <f>'Additional Info'!F2</f>
        <v>Praetorian Insurance - 3501</v>
      </c>
      <c r="D10" s="252"/>
      <c r="E10" s="252" t="s">
        <v>299</v>
      </c>
      <c r="F10" s="132" t="str">
        <f>B4</f>
        <v>MINNESOTA</v>
      </c>
      <c r="G10" s="101"/>
    </row>
    <row r="11" spans="2:8" ht="24" customHeight="1" x14ac:dyDescent="0.25">
      <c r="B11" s="252" t="s">
        <v>197</v>
      </c>
      <c r="C11" s="96">
        <f>VLOOKUP(C10,'STATE CODES (NUM) &amp; MIN-MAX'!B56:D58,3,FALSE)</f>
        <v>21172</v>
      </c>
      <c r="D11" s="101"/>
      <c r="E11" s="101"/>
      <c r="F11" s="93"/>
      <c r="G11" s="93"/>
    </row>
    <row r="12" spans="2:8" ht="15.75" x14ac:dyDescent="0.25">
      <c r="B12" s="252"/>
      <c r="C12" s="97"/>
      <c r="D12" s="240"/>
      <c r="E12" s="240"/>
      <c r="F12" s="93"/>
      <c r="G12" s="93"/>
    </row>
    <row r="13" spans="2:8" x14ac:dyDescent="0.25">
      <c r="B13" s="499" t="s">
        <v>401</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5" t="s">
        <v>204</v>
      </c>
      <c r="C17" s="278" t="s">
        <v>205</v>
      </c>
      <c r="D17" s="346">
        <v>0</v>
      </c>
      <c r="E17" s="346">
        <v>0</v>
      </c>
      <c r="F17" s="364"/>
      <c r="G17" s="431" t="s">
        <v>206</v>
      </c>
      <c r="H17" s="407">
        <v>0.1</v>
      </c>
      <c r="I17" s="407">
        <v>0.1</v>
      </c>
    </row>
    <row r="18" spans="2:9" ht="45" customHeight="1" thickBot="1" x14ac:dyDescent="0.3">
      <c r="B18" s="275" t="s">
        <v>207</v>
      </c>
      <c r="C18" s="138" t="s">
        <v>225</v>
      </c>
      <c r="D18" s="348">
        <v>0</v>
      </c>
      <c r="E18" s="348">
        <v>0</v>
      </c>
      <c r="F18" s="366"/>
      <c r="G18" s="432" t="s">
        <v>206</v>
      </c>
      <c r="H18" s="407">
        <v>0.2</v>
      </c>
      <c r="I18" s="407">
        <v>0.2</v>
      </c>
    </row>
    <row r="19" spans="2:9" ht="45" customHeight="1" thickBot="1" x14ac:dyDescent="0.3">
      <c r="B19" s="275" t="s">
        <v>208</v>
      </c>
      <c r="C19" s="137" t="s">
        <v>205</v>
      </c>
      <c r="D19" s="348">
        <v>0</v>
      </c>
      <c r="E19" s="348">
        <v>0</v>
      </c>
      <c r="F19" s="366"/>
      <c r="G19" s="432" t="s">
        <v>206</v>
      </c>
      <c r="H19" s="407">
        <v>0.1</v>
      </c>
      <c r="I19" s="407">
        <v>0.1</v>
      </c>
    </row>
    <row r="20" spans="2:9" ht="45" customHeight="1" thickBot="1" x14ac:dyDescent="0.3">
      <c r="B20" s="275" t="s">
        <v>288</v>
      </c>
      <c r="C20" s="137" t="s">
        <v>205</v>
      </c>
      <c r="D20" s="348">
        <v>0</v>
      </c>
      <c r="E20" s="348">
        <v>0</v>
      </c>
      <c r="F20" s="366"/>
      <c r="G20" s="432" t="s">
        <v>206</v>
      </c>
      <c r="H20" s="407">
        <v>0.1</v>
      </c>
      <c r="I20" s="407">
        <v>0.1</v>
      </c>
    </row>
    <row r="21" spans="2:9" ht="45" customHeight="1" thickBot="1" x14ac:dyDescent="0.3">
      <c r="B21" s="275" t="s">
        <v>210</v>
      </c>
      <c r="C21" s="137" t="s">
        <v>205</v>
      </c>
      <c r="D21" s="348">
        <v>0</v>
      </c>
      <c r="E21" s="348">
        <v>0</v>
      </c>
      <c r="F21" s="366"/>
      <c r="G21" s="432" t="s">
        <v>206</v>
      </c>
      <c r="H21" s="407">
        <v>0.1</v>
      </c>
      <c r="I21" s="407">
        <v>0.1</v>
      </c>
    </row>
    <row r="22" spans="2:9" ht="45" customHeight="1" thickBot="1" x14ac:dyDescent="0.3">
      <c r="B22" s="275" t="s">
        <v>289</v>
      </c>
      <c r="C22" s="137" t="s">
        <v>205</v>
      </c>
      <c r="D22" s="348">
        <v>0</v>
      </c>
      <c r="E22" s="348">
        <v>0</v>
      </c>
      <c r="F22" s="366"/>
      <c r="G22" s="432" t="s">
        <v>206</v>
      </c>
      <c r="H22" s="407">
        <v>0.1</v>
      </c>
      <c r="I22" s="407">
        <v>0.1</v>
      </c>
    </row>
    <row r="23" spans="2:9" ht="45" customHeight="1" thickBot="1" x14ac:dyDescent="0.3">
      <c r="B23" s="276" t="s">
        <v>290</v>
      </c>
      <c r="C23" s="138" t="s">
        <v>209</v>
      </c>
      <c r="D23" s="348">
        <v>0</v>
      </c>
      <c r="E23" s="348">
        <v>0</v>
      </c>
      <c r="F23" s="366"/>
      <c r="G23" s="432" t="s">
        <v>206</v>
      </c>
      <c r="H23" s="407">
        <v>0.05</v>
      </c>
      <c r="I23" s="407">
        <v>0.05</v>
      </c>
    </row>
    <row r="24" spans="2:9" ht="45" customHeight="1" thickBot="1" x14ac:dyDescent="0.3">
      <c r="B24" s="291" t="s">
        <v>291</v>
      </c>
      <c r="C24" s="279" t="s">
        <v>205</v>
      </c>
      <c r="D24" s="447">
        <v>0</v>
      </c>
      <c r="E24" s="447">
        <v>0</v>
      </c>
      <c r="F24" s="369"/>
      <c r="G24" s="433" t="s">
        <v>206</v>
      </c>
      <c r="H24" s="407">
        <v>0.1</v>
      </c>
      <c r="I24" s="407">
        <v>0.1</v>
      </c>
    </row>
    <row r="25" spans="2:9" ht="16.5" thickBot="1" x14ac:dyDescent="0.3">
      <c r="B25" s="92" t="s">
        <v>214</v>
      </c>
      <c r="C25" s="92"/>
      <c r="D25" s="282">
        <f>-1 * SUM(D17:D24)</f>
        <v>0</v>
      </c>
      <c r="E25" s="282">
        <f>SUM(E17:E24)</f>
        <v>0</v>
      </c>
      <c r="F25" s="93"/>
      <c r="G25" s="93"/>
    </row>
    <row r="26" spans="2:9" ht="15.75" x14ac:dyDescent="0.25">
      <c r="B26" s="92"/>
      <c r="C26" s="92"/>
      <c r="D26" s="93"/>
      <c r="E26" s="93"/>
      <c r="F26" s="93"/>
      <c r="G26" s="93"/>
    </row>
    <row r="27" spans="2:9" ht="16.5" thickBot="1" x14ac:dyDescent="0.3">
      <c r="B27" s="92"/>
      <c r="C27" s="251"/>
      <c r="D27" s="251" t="s">
        <v>287</v>
      </c>
      <c r="E27" s="444">
        <f>SUM(D25:E25)</f>
        <v>0</v>
      </c>
      <c r="F27" s="659" t="s">
        <v>443</v>
      </c>
      <c r="G27" s="660"/>
    </row>
    <row r="28" spans="2:9" ht="15.75" x14ac:dyDescent="0.25">
      <c r="B28" s="92"/>
      <c r="C28" s="92"/>
      <c r="D28" s="100"/>
      <c r="E28" s="93"/>
      <c r="F28" s="93"/>
      <c r="G28" s="93"/>
    </row>
    <row r="29" spans="2:9" ht="16.5" thickBot="1" x14ac:dyDescent="0.3">
      <c r="B29" s="99" t="s">
        <v>217</v>
      </c>
      <c r="C29" s="496" t="str">
        <f>'Worksheet Prep'!D4</f>
        <v/>
      </c>
      <c r="D29" s="496"/>
      <c r="E29" s="99" t="s">
        <v>218</v>
      </c>
      <c r="F29" s="117" t="str">
        <f>IF('Worksheet Prep'!J6&lt;&gt;"",'Worksheet Prep'!J6,"")</f>
        <v/>
      </c>
    </row>
  </sheetData>
  <sheetProtection algorithmName="SHA-512" hashValue="SpZ3VvYKXdRm9Ss8aG5ywAL2tdAidtEwkpueADOpIIvoBjuVUJOyua1kGSwnK11gIZHfcoeWeGIqwGSGTHaREg==" saltValue="HQ7WioRQE8zqpRm2ANj0Cg==" spinCount="100000" sheet="1" objects="1" scenarios="1" selectLockedCells="1"/>
  <mergeCells count="13">
    <mergeCell ref="F6:G6"/>
    <mergeCell ref="F8:G8"/>
    <mergeCell ref="B2:G2"/>
    <mergeCell ref="B4:G4"/>
    <mergeCell ref="C29:D29"/>
    <mergeCell ref="B13:G14"/>
    <mergeCell ref="B15:B16"/>
    <mergeCell ref="C15:C16"/>
    <mergeCell ref="D15:D16"/>
    <mergeCell ref="E15:E16"/>
    <mergeCell ref="F15:F16"/>
    <mergeCell ref="G15:G16"/>
    <mergeCell ref="F27:G27"/>
  </mergeCells>
  <conditionalFormatting sqref="D17">
    <cfRule type="cellIs" dxfId="933" priority="47" operator="lessThan">
      <formula>0%</formula>
    </cfRule>
    <cfRule type="cellIs" dxfId="932" priority="48" operator="greaterThan">
      <formula>H17</formula>
    </cfRule>
    <cfRule type="cellIs" dxfId="931" priority="49" operator="between">
      <formula>0%</formula>
      <formula>H17</formula>
    </cfRule>
  </conditionalFormatting>
  <conditionalFormatting sqref="E17">
    <cfRule type="cellIs" dxfId="930" priority="44" operator="lessThan">
      <formula>0%</formula>
    </cfRule>
    <cfRule type="cellIs" dxfId="929" priority="45" operator="greaterThan">
      <formula>I17</formula>
    </cfRule>
    <cfRule type="cellIs" dxfId="928" priority="46" operator="between">
      <formula>0%</formula>
      <formula>I17</formula>
    </cfRule>
  </conditionalFormatting>
  <conditionalFormatting sqref="E18">
    <cfRule type="cellIs" dxfId="927" priority="41" operator="lessThan">
      <formula>0%</formula>
    </cfRule>
    <cfRule type="cellIs" dxfId="926" priority="42" operator="greaterThan">
      <formula>I18</formula>
    </cfRule>
    <cfRule type="cellIs" dxfId="925" priority="43" operator="between">
      <formula>0%</formula>
      <formula>I18</formula>
    </cfRule>
  </conditionalFormatting>
  <conditionalFormatting sqref="D18">
    <cfRule type="cellIs" dxfId="924" priority="38" operator="lessThan">
      <formula>0%</formula>
    </cfRule>
    <cfRule type="cellIs" dxfId="923" priority="39" operator="greaterThan">
      <formula>H18</formula>
    </cfRule>
    <cfRule type="cellIs" dxfId="922" priority="40" operator="between">
      <formula>0%</formula>
      <formula>H18</formula>
    </cfRule>
  </conditionalFormatting>
  <conditionalFormatting sqref="D19">
    <cfRule type="cellIs" dxfId="921" priority="35" operator="lessThan">
      <formula>0%</formula>
    </cfRule>
    <cfRule type="cellIs" dxfId="920" priority="36" operator="greaterThan">
      <formula>H19</formula>
    </cfRule>
    <cfRule type="cellIs" dxfId="919" priority="37" operator="between">
      <formula>0%</formula>
      <formula>H19</formula>
    </cfRule>
  </conditionalFormatting>
  <conditionalFormatting sqref="E19">
    <cfRule type="cellIs" dxfId="918" priority="32" operator="lessThan">
      <formula>0%</formula>
    </cfRule>
    <cfRule type="cellIs" dxfId="917" priority="33" operator="greaterThan">
      <formula>I19</formula>
    </cfRule>
    <cfRule type="cellIs" dxfId="916" priority="34" operator="between">
      <formula>0%</formula>
      <formula>I19</formula>
    </cfRule>
  </conditionalFormatting>
  <conditionalFormatting sqref="E20">
    <cfRule type="cellIs" dxfId="915" priority="29" operator="lessThan">
      <formula>0%</formula>
    </cfRule>
    <cfRule type="cellIs" dxfId="914" priority="30" operator="greaterThan">
      <formula>I20</formula>
    </cfRule>
    <cfRule type="cellIs" dxfId="913" priority="31" operator="between">
      <formula>0%</formula>
      <formula>I20</formula>
    </cfRule>
  </conditionalFormatting>
  <conditionalFormatting sqref="D20">
    <cfRule type="cellIs" dxfId="912" priority="26" operator="lessThan">
      <formula>0%</formula>
    </cfRule>
    <cfRule type="cellIs" dxfId="911" priority="27" operator="greaterThan">
      <formula>H20</formula>
    </cfRule>
    <cfRule type="cellIs" dxfId="910" priority="28" operator="between">
      <formula>0%</formula>
      <formula>H20</formula>
    </cfRule>
  </conditionalFormatting>
  <conditionalFormatting sqref="D21">
    <cfRule type="cellIs" dxfId="909" priority="23" operator="lessThan">
      <formula>0%</formula>
    </cfRule>
    <cfRule type="cellIs" dxfId="908" priority="24" operator="greaterThan">
      <formula>H21</formula>
    </cfRule>
    <cfRule type="cellIs" dxfId="907" priority="25" operator="between">
      <formula>0%</formula>
      <formula>H21</formula>
    </cfRule>
  </conditionalFormatting>
  <conditionalFormatting sqref="E21">
    <cfRule type="cellIs" dxfId="906" priority="20" operator="lessThan">
      <formula>0%</formula>
    </cfRule>
    <cfRule type="cellIs" dxfId="905" priority="21" operator="greaterThan">
      <formula>I21</formula>
    </cfRule>
    <cfRule type="cellIs" dxfId="904" priority="22" operator="between">
      <formula>0%</formula>
      <formula>I21</formula>
    </cfRule>
  </conditionalFormatting>
  <conditionalFormatting sqref="E22">
    <cfRule type="cellIs" dxfId="903" priority="17" operator="lessThan">
      <formula>0%</formula>
    </cfRule>
    <cfRule type="cellIs" dxfId="902" priority="18" operator="greaterThan">
      <formula>I22</formula>
    </cfRule>
    <cfRule type="cellIs" dxfId="901" priority="19" operator="between">
      <formula>0%</formula>
      <formula>I22</formula>
    </cfRule>
  </conditionalFormatting>
  <conditionalFormatting sqref="D22">
    <cfRule type="cellIs" dxfId="900" priority="14" operator="lessThan">
      <formula>0%</formula>
    </cfRule>
    <cfRule type="cellIs" dxfId="899" priority="15" operator="greaterThan">
      <formula>H22</formula>
    </cfRule>
    <cfRule type="cellIs" dxfId="898" priority="16" operator="between">
      <formula>0%</formula>
      <formula>H22</formula>
    </cfRule>
  </conditionalFormatting>
  <conditionalFormatting sqref="D23">
    <cfRule type="cellIs" dxfId="897" priority="11" operator="lessThan">
      <formula>0%</formula>
    </cfRule>
    <cfRule type="cellIs" dxfId="896" priority="12" operator="greaterThan">
      <formula>H23</formula>
    </cfRule>
    <cfRule type="cellIs" dxfId="895" priority="13" operator="between">
      <formula>0%</formula>
      <formula>H23</formula>
    </cfRule>
  </conditionalFormatting>
  <conditionalFormatting sqref="E23">
    <cfRule type="cellIs" dxfId="894" priority="8" operator="lessThan">
      <formula>0%</formula>
    </cfRule>
    <cfRule type="cellIs" dxfId="893" priority="9" operator="greaterThan">
      <formula>I23</formula>
    </cfRule>
    <cfRule type="cellIs" dxfId="892" priority="10" operator="between">
      <formula>0%</formula>
      <formula>I23</formula>
    </cfRule>
  </conditionalFormatting>
  <conditionalFormatting sqref="E24">
    <cfRule type="cellIs" dxfId="891" priority="5" operator="lessThan">
      <formula>0%</formula>
    </cfRule>
    <cfRule type="cellIs" dxfId="890" priority="6" operator="greaterThan">
      <formula>I24</formula>
    </cfRule>
    <cfRule type="cellIs" dxfId="889" priority="7" operator="between">
      <formula>0%</formula>
      <formula>I24</formula>
    </cfRule>
  </conditionalFormatting>
  <conditionalFormatting sqref="D24">
    <cfRule type="cellIs" dxfId="888" priority="2" operator="lessThan">
      <formula>0%</formula>
    </cfRule>
    <cfRule type="cellIs" dxfId="887" priority="3" operator="greaterThan">
      <formula>H24</formula>
    </cfRule>
    <cfRule type="cellIs" dxfId="886" priority="4"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CC42D5C6-B652-4983-BB3B-D9C54C88C730}">
            <xm:f>-1 * 'STATE CODES (NUM) &amp; MIN-MAX'!$E$26</xm:f>
            <xm:f>'STATE CODES (NUM) &amp; MIN-MAX'!$E$26</xm:f>
            <x14:dxf>
              <font>
                <color theme="5" tint="-0.499984740745262"/>
              </font>
              <fill>
                <patternFill>
                  <bgColor rgb="FFFFCCCC"/>
                </patternFill>
              </fill>
            </x14:dxf>
          </x14:cfRule>
          <xm:sqref>E27</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8">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120</v>
      </c>
      <c r="C4" s="637"/>
      <c r="D4" s="637"/>
      <c r="E4" s="637"/>
      <c r="F4" s="637"/>
      <c r="G4" s="637"/>
    </row>
    <row r="5" spans="1:8" ht="15.75" x14ac:dyDescent="0.25">
      <c r="B5" s="92"/>
      <c r="C5" s="92"/>
      <c r="D5" s="93"/>
      <c r="E5" s="93"/>
      <c r="F5" s="93"/>
      <c r="G5" s="93"/>
    </row>
    <row r="6" spans="1:8" ht="15.75" x14ac:dyDescent="0.25">
      <c r="B6" s="252" t="s">
        <v>193</v>
      </c>
      <c r="C6" s="242" t="str">
        <f>IF('Worksheet Prep'!D3&lt;&gt;"",'Worksheet Prep'!D3,"")</f>
        <v/>
      </c>
      <c r="D6" s="252"/>
      <c r="E6" s="252" t="s">
        <v>194</v>
      </c>
      <c r="F6" s="508" t="str">
        <f>IF('Worksheet Prep'!G5&lt;&gt;"",'Worksheet Prep'!G5,"")</f>
        <v/>
      </c>
      <c r="G6" s="508"/>
      <c r="H6" s="94"/>
    </row>
    <row r="7" spans="1:8" s="146" customFormat="1" ht="15.75" customHeight="1" x14ac:dyDescent="0.25">
      <c r="A7" s="145"/>
      <c r="B7" s="145"/>
      <c r="C7" s="145"/>
      <c r="D7" s="145"/>
      <c r="E7" s="145"/>
      <c r="F7" s="145"/>
      <c r="G7" s="145"/>
      <c r="H7" s="145"/>
    </row>
    <row r="8" spans="1:8" ht="15.75" x14ac:dyDescent="0.25">
      <c r="B8" s="252" t="s">
        <v>224</v>
      </c>
      <c r="C8" s="345"/>
      <c r="D8" s="252"/>
      <c r="E8" s="252" t="s">
        <v>195</v>
      </c>
      <c r="F8" s="509" t="str">
        <f>IF('Worksheet Prep'!C5&lt;&gt;"",'Worksheet Prep'!C5,"")</f>
        <v/>
      </c>
      <c r="G8" s="509"/>
      <c r="H8" s="95"/>
    </row>
    <row r="9" spans="1:8" s="146" customFormat="1" ht="15.75" customHeight="1" x14ac:dyDescent="0.25">
      <c r="A9" s="145"/>
      <c r="B9" s="145"/>
      <c r="C9" s="145"/>
      <c r="D9" s="145"/>
      <c r="E9" s="145"/>
      <c r="F9" s="145"/>
      <c r="G9" s="145"/>
      <c r="H9" s="145"/>
    </row>
    <row r="10" spans="1:8" ht="15.75" x14ac:dyDescent="0.25">
      <c r="B10" s="252" t="s">
        <v>196</v>
      </c>
      <c r="C10" s="242" t="str">
        <f>'Additional Info'!F2</f>
        <v>Praetorian Insurance - 3501</v>
      </c>
      <c r="D10" s="252"/>
      <c r="E10" s="252" t="s">
        <v>299</v>
      </c>
      <c r="F10" s="132" t="str">
        <f>B4</f>
        <v>MISSISSIPPI</v>
      </c>
      <c r="G10" s="101"/>
    </row>
    <row r="11" spans="1:8" ht="24" customHeight="1" x14ac:dyDescent="0.25">
      <c r="B11" s="252" t="s">
        <v>197</v>
      </c>
      <c r="C11" s="96">
        <f>VLOOKUP(C10,'STATE CODES (NUM) &amp; MIN-MAX'!B56:D58,3,FALSE)</f>
        <v>21172</v>
      </c>
      <c r="D11" s="501"/>
      <c r="E11" s="501"/>
      <c r="F11" s="93"/>
      <c r="G11" s="93"/>
    </row>
    <row r="12" spans="1:8" ht="15.75" x14ac:dyDescent="0.25">
      <c r="B12" s="252"/>
      <c r="C12" s="97"/>
      <c r="D12" s="240"/>
      <c r="E12" s="240"/>
      <c r="F12" s="93"/>
      <c r="G12" s="93"/>
    </row>
    <row r="13" spans="1:8" x14ac:dyDescent="0.25">
      <c r="B13" s="499" t="s">
        <v>316</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customHeight="1" thickBot="1" x14ac:dyDescent="0.3">
      <c r="B16" s="658"/>
      <c r="C16" s="498"/>
      <c r="D16" s="498"/>
      <c r="E16" s="498"/>
      <c r="F16" s="498"/>
      <c r="G16" s="498"/>
    </row>
    <row r="17" spans="2:9" ht="45" customHeight="1" thickBot="1" x14ac:dyDescent="0.3">
      <c r="B17" s="273" t="s">
        <v>204</v>
      </c>
      <c r="C17" s="135" t="s">
        <v>205</v>
      </c>
      <c r="D17" s="346">
        <v>0</v>
      </c>
      <c r="E17" s="346">
        <v>0</v>
      </c>
      <c r="F17" s="364"/>
      <c r="G17" s="431" t="s">
        <v>206</v>
      </c>
      <c r="H17" s="407">
        <v>0.1</v>
      </c>
      <c r="I17" s="407">
        <v>0.1</v>
      </c>
    </row>
    <row r="18" spans="2:9" ht="45" customHeight="1" thickBot="1" x14ac:dyDescent="0.3">
      <c r="B18" s="273" t="s">
        <v>207</v>
      </c>
      <c r="C18" s="136" t="s">
        <v>205</v>
      </c>
      <c r="D18" s="348">
        <v>0</v>
      </c>
      <c r="E18" s="348">
        <v>0</v>
      </c>
      <c r="F18" s="366"/>
      <c r="G18" s="432" t="s">
        <v>206</v>
      </c>
      <c r="H18" s="407">
        <v>0.1</v>
      </c>
      <c r="I18" s="407">
        <v>0.1</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3" t="s">
        <v>289</v>
      </c>
      <c r="C22" s="137" t="s">
        <v>209</v>
      </c>
      <c r="D22" s="348">
        <v>0</v>
      </c>
      <c r="E22" s="348">
        <v>0</v>
      </c>
      <c r="F22" s="366"/>
      <c r="G22" s="432" t="s">
        <v>206</v>
      </c>
      <c r="H22" s="407">
        <v>0.05</v>
      </c>
      <c r="I22" s="407">
        <v>0.05</v>
      </c>
    </row>
    <row r="23" spans="2:9" ht="45" customHeight="1" thickBot="1" x14ac:dyDescent="0.3">
      <c r="B23" s="274"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row>
  </sheetData>
  <sheetProtection algorithmName="SHA-512" hashValue="EQgVjdl4wQ03UYV5xt18xRMqPwmukSukl6ws0zsrvjoNo+bJKJtzBV56RhoEX8KU+ZcgQpakc8kXtcLdJufxEA==" saltValue="M80+PPXsCkwVGVVb5bkVjA==" spinCount="100000" sheet="1" objects="1" scenarios="1" selectLockedCells="1"/>
  <mergeCells count="14">
    <mergeCell ref="C28:D28"/>
    <mergeCell ref="B13:G14"/>
    <mergeCell ref="B15:B16"/>
    <mergeCell ref="C15:C16"/>
    <mergeCell ref="D15:D16"/>
    <mergeCell ref="E15:E16"/>
    <mergeCell ref="F15:F16"/>
    <mergeCell ref="G15:G16"/>
    <mergeCell ref="F26:G26"/>
    <mergeCell ref="D11:E11"/>
    <mergeCell ref="F6:G6"/>
    <mergeCell ref="F8:G8"/>
    <mergeCell ref="B2:G2"/>
    <mergeCell ref="B4:G4"/>
  </mergeCells>
  <conditionalFormatting sqref="D17">
    <cfRule type="cellIs" dxfId="884" priority="41" operator="lessThan">
      <formula>0%</formula>
    </cfRule>
    <cfRule type="cellIs" dxfId="883" priority="42" operator="greaterThan">
      <formula>H17</formula>
    </cfRule>
    <cfRule type="cellIs" dxfId="882" priority="43" operator="between">
      <formula>0%</formula>
      <formula>H17</formula>
    </cfRule>
  </conditionalFormatting>
  <conditionalFormatting sqref="E17">
    <cfRule type="cellIs" dxfId="881" priority="37" operator="lessThan">
      <formula>0%</formula>
    </cfRule>
    <cfRule type="cellIs" dxfId="880" priority="38" operator="greaterThan">
      <formula>I17</formula>
    </cfRule>
    <cfRule type="cellIs" dxfId="879" priority="39" operator="between">
      <formula>0%</formula>
      <formula>I17</formula>
    </cfRule>
  </conditionalFormatting>
  <conditionalFormatting sqref="E18">
    <cfRule type="cellIs" dxfId="878" priority="34" operator="lessThan">
      <formula>0%</formula>
    </cfRule>
    <cfRule type="cellIs" dxfId="877" priority="35" operator="greaterThan">
      <formula>I18</formula>
    </cfRule>
    <cfRule type="cellIs" dxfId="876" priority="36" operator="between">
      <formula>0%</formula>
      <formula>I18</formula>
    </cfRule>
  </conditionalFormatting>
  <conditionalFormatting sqref="D18">
    <cfRule type="cellIs" dxfId="875" priority="31" operator="lessThan">
      <formula>0%</formula>
    </cfRule>
    <cfRule type="cellIs" dxfId="874" priority="32" operator="greaterThan">
      <formula>H18</formula>
    </cfRule>
    <cfRule type="cellIs" dxfId="873" priority="33" operator="between">
      <formula>0%</formula>
      <formula>H18</formula>
    </cfRule>
  </conditionalFormatting>
  <conditionalFormatting sqref="D19">
    <cfRule type="cellIs" dxfId="872" priority="28" operator="lessThan">
      <formula>0%</formula>
    </cfRule>
    <cfRule type="cellIs" dxfId="871" priority="29" operator="greaterThan">
      <formula>H19</formula>
    </cfRule>
    <cfRule type="cellIs" dxfId="870" priority="30" operator="between">
      <formula>0%</formula>
      <formula>H19</formula>
    </cfRule>
  </conditionalFormatting>
  <conditionalFormatting sqref="E19">
    <cfRule type="cellIs" dxfId="869" priority="25" operator="lessThan">
      <formula>0%</formula>
    </cfRule>
    <cfRule type="cellIs" dxfId="868" priority="26" operator="greaterThan">
      <formula>I19</formula>
    </cfRule>
    <cfRule type="cellIs" dxfId="867" priority="27" operator="between">
      <formula>0%</formula>
      <formula>I19</formula>
    </cfRule>
  </conditionalFormatting>
  <conditionalFormatting sqref="E20">
    <cfRule type="cellIs" dxfId="866" priority="22" operator="lessThan">
      <formula>0%</formula>
    </cfRule>
    <cfRule type="cellIs" dxfId="865" priority="23" operator="greaterThan">
      <formula>I20</formula>
    </cfRule>
    <cfRule type="cellIs" dxfId="864" priority="24" operator="between">
      <formula>0%</formula>
      <formula>I20</formula>
    </cfRule>
  </conditionalFormatting>
  <conditionalFormatting sqref="E21">
    <cfRule type="cellIs" dxfId="863" priority="19" operator="lessThan">
      <formula>0%</formula>
    </cfRule>
    <cfRule type="cellIs" dxfId="862" priority="20" operator="greaterThan">
      <formula>I21</formula>
    </cfRule>
    <cfRule type="cellIs" dxfId="861" priority="21" operator="between">
      <formula>0%</formula>
      <formula>I21</formula>
    </cfRule>
  </conditionalFormatting>
  <conditionalFormatting sqref="D21">
    <cfRule type="cellIs" dxfId="860" priority="16" operator="lessThan">
      <formula>0%</formula>
    </cfRule>
    <cfRule type="cellIs" dxfId="859" priority="17" operator="greaterThan">
      <formula>H21</formula>
    </cfRule>
    <cfRule type="cellIs" dxfId="858" priority="18" operator="between">
      <formula>0%</formula>
      <formula>H21</formula>
    </cfRule>
  </conditionalFormatting>
  <conditionalFormatting sqref="D20">
    <cfRule type="cellIs" dxfId="857" priority="13" operator="lessThan">
      <formula>0%</formula>
    </cfRule>
    <cfRule type="cellIs" dxfId="856" priority="14" operator="greaterThan">
      <formula>H20</formula>
    </cfRule>
    <cfRule type="cellIs" dxfId="855" priority="15" operator="between">
      <formula>0%</formula>
      <formula>H20</formula>
    </cfRule>
  </conditionalFormatting>
  <conditionalFormatting sqref="D22">
    <cfRule type="cellIs" dxfId="854" priority="10" operator="lessThan">
      <formula>0%</formula>
    </cfRule>
    <cfRule type="cellIs" dxfId="853" priority="11" operator="greaterThan">
      <formula>H22</formula>
    </cfRule>
    <cfRule type="cellIs" dxfId="852" priority="12" operator="between">
      <formula>0%</formula>
      <formula>H22</formula>
    </cfRule>
  </conditionalFormatting>
  <conditionalFormatting sqref="E22">
    <cfRule type="cellIs" dxfId="851" priority="7" operator="lessThan">
      <formula>0%</formula>
    </cfRule>
    <cfRule type="cellIs" dxfId="850" priority="8" operator="greaterThan">
      <formula>I22</formula>
    </cfRule>
    <cfRule type="cellIs" dxfId="849" priority="9" operator="between">
      <formula>0%</formula>
      <formula>I22</formula>
    </cfRule>
  </conditionalFormatting>
  <conditionalFormatting sqref="E23">
    <cfRule type="cellIs" dxfId="848" priority="4" operator="lessThan">
      <formula>0%</formula>
    </cfRule>
    <cfRule type="cellIs" dxfId="847" priority="5" operator="greaterThan">
      <formula>I23</formula>
    </cfRule>
    <cfRule type="cellIs" dxfId="846" priority="6" operator="between">
      <formula>0%</formula>
      <formula>I23</formula>
    </cfRule>
  </conditionalFormatting>
  <conditionalFormatting sqref="D23">
    <cfRule type="cellIs" dxfId="845" priority="1" operator="lessThan">
      <formula>0%</formula>
    </cfRule>
    <cfRule type="cellIs" dxfId="844" priority="2" operator="greaterThan">
      <formula>H23</formula>
    </cfRule>
    <cfRule type="cellIs" dxfId="843" priority="3" operator="between">
      <formula>0%</formula>
      <formula>H23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89566556-FC81-4BBF-A356-36FC6B39201D}">
            <xm:f>-1 * 'STATE CODES (NUM) &amp; MIN-MAX'!$E$27</xm:f>
            <xm:f>'STATE CODES (NUM) &amp; MIN-MAX'!$E$27</xm:f>
            <x14:dxf>
              <font>
                <color theme="5" tint="-0.499984740745262"/>
              </font>
              <fill>
                <patternFill>
                  <bgColor rgb="FFFFCCCC"/>
                </patternFill>
              </fill>
            </x14:dxf>
          </x14:cfRule>
          <xm:sqref>E26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9">
    <pageSetUpPr fitToPage="1"/>
  </sheetPr>
  <dimension ref="B2:I27"/>
  <sheetViews>
    <sheetView showGridLines="0" showRowColHeaders="0" topLeftCell="A6"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121</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41"/>
      <c r="E6" s="241" t="s">
        <v>194</v>
      </c>
      <c r="F6" s="508" t="str">
        <f>IF('Worksheet Prep'!G5&lt;&gt;"",'Worksheet Prep'!G5,"")</f>
        <v/>
      </c>
      <c r="G6" s="508"/>
      <c r="H6" s="94"/>
    </row>
    <row r="7" spans="2:8" s="145" customFormat="1" ht="15.75" x14ac:dyDescent="0.25">
      <c r="B7" s="241"/>
      <c r="C7" s="97"/>
      <c r="D7" s="241"/>
      <c r="E7" s="241"/>
      <c r="F7" s="97"/>
      <c r="G7" s="97"/>
      <c r="H7" s="94"/>
    </row>
    <row r="8" spans="2:8" ht="15.75" x14ac:dyDescent="0.25">
      <c r="B8" s="252" t="s">
        <v>224</v>
      </c>
      <c r="C8" s="345"/>
      <c r="D8" s="241"/>
      <c r="E8" s="241" t="s">
        <v>195</v>
      </c>
      <c r="F8" s="509" t="str">
        <f>IF('Worksheet Prep'!C5&lt;&gt;"",'Worksheet Prep'!C5,"")</f>
        <v/>
      </c>
      <c r="G8" s="509"/>
      <c r="H8" s="95"/>
    </row>
    <row r="9" spans="2:8" s="145" customFormat="1" ht="15.75" x14ac:dyDescent="0.25">
      <c r="B9" s="241"/>
      <c r="C9" s="97"/>
      <c r="D9" s="241"/>
      <c r="E9" s="241"/>
      <c r="F9" s="126"/>
      <c r="G9" s="126"/>
      <c r="H9" s="95"/>
    </row>
    <row r="10" spans="2:8" ht="15.75" x14ac:dyDescent="0.25">
      <c r="B10" s="252" t="s">
        <v>196</v>
      </c>
      <c r="C10" s="242" t="str">
        <f>'Additional Info'!F2</f>
        <v>Praetorian Insurance - 3501</v>
      </c>
      <c r="D10" s="241"/>
      <c r="E10" s="241" t="s">
        <v>299</v>
      </c>
      <c r="F10" s="132" t="s">
        <v>121</v>
      </c>
      <c r="G10" s="101"/>
    </row>
    <row r="11" spans="2:8" ht="24" customHeight="1" x14ac:dyDescent="0.25">
      <c r="B11" s="252" t="s">
        <v>197</v>
      </c>
      <c r="C11" s="96">
        <f>VLOOKUP(C10,'STATE CODES (NUM) &amp; MIN-MAX'!B56:D58,3,FALSE)</f>
        <v>21172</v>
      </c>
      <c r="D11" s="101"/>
      <c r="E11" s="101"/>
      <c r="F11" s="144"/>
      <c r="G11" s="144"/>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5" t="s">
        <v>204</v>
      </c>
      <c r="C17" s="278" t="s">
        <v>205</v>
      </c>
      <c r="D17" s="346">
        <v>0</v>
      </c>
      <c r="E17" s="346">
        <v>0</v>
      </c>
      <c r="F17" s="364"/>
      <c r="G17" s="431" t="s">
        <v>206</v>
      </c>
      <c r="H17" s="407">
        <v>0.1</v>
      </c>
      <c r="I17" s="407">
        <v>0.1</v>
      </c>
    </row>
    <row r="18" spans="2:9" ht="45" customHeight="1" thickBot="1" x14ac:dyDescent="0.3">
      <c r="B18" s="275" t="s">
        <v>208</v>
      </c>
      <c r="C18" s="138" t="s">
        <v>205</v>
      </c>
      <c r="D18" s="348">
        <v>0</v>
      </c>
      <c r="E18" s="348">
        <v>0</v>
      </c>
      <c r="F18" s="366"/>
      <c r="G18" s="432" t="s">
        <v>206</v>
      </c>
      <c r="H18" s="407">
        <v>0.1</v>
      </c>
      <c r="I18" s="407">
        <v>0.1</v>
      </c>
    </row>
    <row r="19" spans="2:9" ht="45" customHeight="1" thickBot="1" x14ac:dyDescent="0.3">
      <c r="B19" s="275" t="s">
        <v>288</v>
      </c>
      <c r="C19" s="137" t="s">
        <v>205</v>
      </c>
      <c r="D19" s="348">
        <v>0</v>
      </c>
      <c r="E19" s="348">
        <v>0</v>
      </c>
      <c r="F19" s="366"/>
      <c r="G19" s="432" t="s">
        <v>206</v>
      </c>
      <c r="H19" s="407">
        <v>0.1</v>
      </c>
      <c r="I19" s="407">
        <v>0.1</v>
      </c>
    </row>
    <row r="20" spans="2:9" ht="45" customHeight="1" thickBot="1" x14ac:dyDescent="0.3">
      <c r="B20" s="275" t="s">
        <v>210</v>
      </c>
      <c r="C20" s="137" t="s">
        <v>205</v>
      </c>
      <c r="D20" s="348">
        <v>0</v>
      </c>
      <c r="E20" s="348">
        <v>0</v>
      </c>
      <c r="F20" s="366"/>
      <c r="G20" s="432" t="s">
        <v>206</v>
      </c>
      <c r="H20" s="407">
        <v>0.1</v>
      </c>
      <c r="I20" s="407">
        <v>0.1</v>
      </c>
    </row>
    <row r="21" spans="2:9" ht="45" customHeight="1" thickBot="1" x14ac:dyDescent="0.3">
      <c r="B21" s="275" t="s">
        <v>289</v>
      </c>
      <c r="C21" s="137" t="s">
        <v>205</v>
      </c>
      <c r="D21" s="348">
        <v>0</v>
      </c>
      <c r="E21" s="348">
        <v>0</v>
      </c>
      <c r="F21" s="366"/>
      <c r="G21" s="432" t="s">
        <v>206</v>
      </c>
      <c r="H21" s="407">
        <v>0.1</v>
      </c>
      <c r="I21" s="407">
        <v>0.1</v>
      </c>
    </row>
    <row r="22" spans="2:9" ht="45" customHeight="1" thickBot="1" x14ac:dyDescent="0.3">
      <c r="B22" s="276" t="s">
        <v>213</v>
      </c>
      <c r="C22" s="279" t="s">
        <v>205</v>
      </c>
      <c r="D22" s="447">
        <v>0</v>
      </c>
      <c r="E22" s="447">
        <v>0</v>
      </c>
      <c r="F22" s="369"/>
      <c r="G22" s="433" t="s">
        <v>206</v>
      </c>
      <c r="H22" s="407">
        <v>0.1</v>
      </c>
      <c r="I22" s="407">
        <v>0.1</v>
      </c>
    </row>
    <row r="23" spans="2:9" ht="16.5" thickBot="1" x14ac:dyDescent="0.3">
      <c r="B23" s="92" t="s">
        <v>214</v>
      </c>
      <c r="C23" s="92"/>
      <c r="D23" s="282">
        <f>-1 * SUM(D17:D22)</f>
        <v>0</v>
      </c>
      <c r="E23" s="282">
        <f>SUM(E17:E22)</f>
        <v>0</v>
      </c>
      <c r="F23" s="93"/>
      <c r="G23" s="93"/>
    </row>
    <row r="24" spans="2:9" ht="15.75" x14ac:dyDescent="0.25">
      <c r="B24" s="92"/>
      <c r="C24" s="92"/>
      <c r="D24" s="93"/>
      <c r="E24" s="93"/>
      <c r="F24" s="93"/>
      <c r="G24" s="93"/>
    </row>
    <row r="25" spans="2:9" ht="16.5" thickBot="1" x14ac:dyDescent="0.3">
      <c r="B25" s="92"/>
      <c r="C25" s="251"/>
      <c r="D25" s="251" t="s">
        <v>287</v>
      </c>
      <c r="E25" s="444">
        <f>SUM(D23:E23)</f>
        <v>0</v>
      </c>
      <c r="F25" s="659" t="s">
        <v>443</v>
      </c>
      <c r="G25" s="660"/>
    </row>
    <row r="26" spans="2:9" ht="15.75" x14ac:dyDescent="0.25">
      <c r="B26" s="92"/>
      <c r="C26" s="92"/>
      <c r="D26" s="100"/>
      <c r="E26" s="93"/>
      <c r="F26" s="93"/>
      <c r="G26" s="93"/>
    </row>
    <row r="27" spans="2:9" ht="16.5" thickBot="1" x14ac:dyDescent="0.3">
      <c r="B27" s="99" t="s">
        <v>217</v>
      </c>
      <c r="C27" s="496" t="str">
        <f>'Worksheet Prep'!D4</f>
        <v/>
      </c>
      <c r="D27" s="496"/>
      <c r="E27" s="99" t="s">
        <v>218</v>
      </c>
      <c r="F27" s="117" t="str">
        <f>IF('Worksheet Prep'!J6&lt;&gt;"",'Worksheet Prep'!J6,"")</f>
        <v/>
      </c>
    </row>
  </sheetData>
  <sheetProtection algorithmName="SHA-512" hashValue="/c32vQLpKoyuYPcV1KrnHgcUSFGDX/pPEpX1R1PDDZVElMnH6l6Py3MkHCrF8qNggCXBvnp2ilhK14neIGpcVw==" saltValue="nLZ7XtkbB21KEmwkBGOycg==" spinCount="100000" sheet="1" objects="1" scenarios="1" selectLockedCells="1"/>
  <mergeCells count="13">
    <mergeCell ref="B2:G2"/>
    <mergeCell ref="B4:G4"/>
    <mergeCell ref="F6:G6"/>
    <mergeCell ref="F8:G8"/>
    <mergeCell ref="C27:D27"/>
    <mergeCell ref="B13:G14"/>
    <mergeCell ref="B15:B16"/>
    <mergeCell ref="C15:C16"/>
    <mergeCell ref="D15:D16"/>
    <mergeCell ref="E15:E16"/>
    <mergeCell ref="F15:F16"/>
    <mergeCell ref="G15:G16"/>
    <mergeCell ref="F25:G25"/>
  </mergeCells>
  <conditionalFormatting sqref="D17">
    <cfRule type="cellIs" dxfId="841" priority="35" operator="lessThan">
      <formula>0%</formula>
    </cfRule>
    <cfRule type="cellIs" dxfId="840" priority="36" operator="greaterThan">
      <formula>H17</formula>
    </cfRule>
    <cfRule type="cellIs" dxfId="839" priority="37" operator="between">
      <formula>0%</formula>
      <formula>H17</formula>
    </cfRule>
  </conditionalFormatting>
  <conditionalFormatting sqref="E17">
    <cfRule type="cellIs" dxfId="838" priority="32" operator="lessThan">
      <formula>0%</formula>
    </cfRule>
    <cfRule type="cellIs" dxfId="837" priority="33" operator="greaterThan">
      <formula>I17</formula>
    </cfRule>
    <cfRule type="cellIs" dxfId="836" priority="34" operator="between">
      <formula>0%</formula>
      <formula>I17</formula>
    </cfRule>
  </conditionalFormatting>
  <conditionalFormatting sqref="E18">
    <cfRule type="cellIs" dxfId="835" priority="29" operator="lessThan">
      <formula>0%</formula>
    </cfRule>
    <cfRule type="cellIs" dxfId="834" priority="30" operator="greaterThan">
      <formula>I18</formula>
    </cfRule>
    <cfRule type="cellIs" dxfId="833" priority="31" operator="between">
      <formula>0%</formula>
      <formula>I18</formula>
    </cfRule>
  </conditionalFormatting>
  <conditionalFormatting sqref="D18">
    <cfRule type="cellIs" dxfId="832" priority="26" operator="lessThan">
      <formula>0%</formula>
    </cfRule>
    <cfRule type="cellIs" dxfId="831" priority="27" operator="greaterThan">
      <formula>H18</formula>
    </cfRule>
    <cfRule type="cellIs" dxfId="830" priority="28" operator="between">
      <formula>0%</formula>
      <formula>H18</formula>
    </cfRule>
  </conditionalFormatting>
  <conditionalFormatting sqref="D19">
    <cfRule type="cellIs" dxfId="829" priority="23" operator="lessThan">
      <formula>0%</formula>
    </cfRule>
    <cfRule type="cellIs" dxfId="828" priority="24" operator="greaterThan">
      <formula>H19</formula>
    </cfRule>
    <cfRule type="cellIs" dxfId="827" priority="25" operator="between">
      <formula>0%</formula>
      <formula>H19</formula>
    </cfRule>
  </conditionalFormatting>
  <conditionalFormatting sqref="E19">
    <cfRule type="cellIs" dxfId="826" priority="20" operator="lessThan">
      <formula>0%</formula>
    </cfRule>
    <cfRule type="cellIs" dxfId="825" priority="21" operator="greaterThan">
      <formula>I19</formula>
    </cfRule>
    <cfRule type="cellIs" dxfId="824" priority="22" operator="between">
      <formula>0%</formula>
      <formula>I19</formula>
    </cfRule>
  </conditionalFormatting>
  <conditionalFormatting sqref="E20">
    <cfRule type="cellIs" dxfId="823" priority="17" operator="lessThan">
      <formula>0%</formula>
    </cfRule>
    <cfRule type="cellIs" dxfId="822" priority="18" operator="greaterThan">
      <formula>I20</formula>
    </cfRule>
    <cfRule type="cellIs" dxfId="821" priority="19" operator="between">
      <formula>0%</formula>
      <formula>I20</formula>
    </cfRule>
  </conditionalFormatting>
  <conditionalFormatting sqref="D20">
    <cfRule type="cellIs" dxfId="820" priority="14" operator="lessThan">
      <formula>0%</formula>
    </cfRule>
    <cfRule type="cellIs" dxfId="819" priority="15" operator="greaterThan">
      <formula>H20</formula>
    </cfRule>
    <cfRule type="cellIs" dxfId="818" priority="16" operator="between">
      <formula>0%</formula>
      <formula>H20</formula>
    </cfRule>
  </conditionalFormatting>
  <conditionalFormatting sqref="D21">
    <cfRule type="cellIs" dxfId="817" priority="11" operator="lessThan">
      <formula>0%</formula>
    </cfRule>
    <cfRule type="cellIs" dxfId="816" priority="12" operator="greaterThan">
      <formula>H21</formula>
    </cfRule>
    <cfRule type="cellIs" dxfId="815" priority="13" operator="between">
      <formula>0%</formula>
      <formula>H21</formula>
    </cfRule>
  </conditionalFormatting>
  <conditionalFormatting sqref="E21">
    <cfRule type="cellIs" dxfId="814" priority="8" operator="lessThan">
      <formula>0%</formula>
    </cfRule>
    <cfRule type="cellIs" dxfId="813" priority="9" operator="greaterThan">
      <formula>I21</formula>
    </cfRule>
    <cfRule type="cellIs" dxfId="812" priority="10" operator="between">
      <formula>0%</formula>
      <formula>I21</formula>
    </cfRule>
  </conditionalFormatting>
  <conditionalFormatting sqref="E22">
    <cfRule type="cellIs" dxfId="811" priority="5" operator="lessThan">
      <formula>0%</formula>
    </cfRule>
    <cfRule type="cellIs" dxfId="810" priority="6" operator="greaterThan">
      <formula>I22</formula>
    </cfRule>
    <cfRule type="cellIs" dxfId="809" priority="7" operator="between">
      <formula>0%</formula>
      <formula>I22</formula>
    </cfRule>
  </conditionalFormatting>
  <conditionalFormatting sqref="D22">
    <cfRule type="cellIs" dxfId="808" priority="2" operator="lessThan">
      <formula>0%</formula>
    </cfRule>
    <cfRule type="cellIs" dxfId="807" priority="3" operator="greaterThan">
      <formula>H22</formula>
    </cfRule>
    <cfRule type="cellIs" dxfId="806" priority="4"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C33DF86B-D17A-499E-A1E8-BD3658A2586B}">
            <xm:f>-1 * 'STATE CODES (NUM) &amp; MIN-MAX'!$E$28</xm:f>
            <xm:f>'STATE CODES (NUM) &amp; MIN-MAX'!$E$28</xm:f>
            <x14:dxf>
              <font>
                <color theme="5" tint="-0.499984740745262"/>
              </font>
              <fill>
                <patternFill>
                  <bgColor rgb="FFFFCCCC"/>
                </patternFill>
              </fill>
            </x14:dxf>
          </x14:cfRule>
          <xm:sqref>E25</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0">
    <pageSetUpPr fitToPage="1"/>
  </sheetPr>
  <dimension ref="A1:I31"/>
  <sheetViews>
    <sheetView showGridLines="0" showRowColHeaders="0" zoomScale="90" zoomScaleNormal="90" workbookViewId="0">
      <selection activeCell="D7" sqref="D7:G7"/>
    </sheetView>
  </sheetViews>
  <sheetFormatPr defaultRowHeight="15" x14ac:dyDescent="0.25"/>
  <cols>
    <col min="1" max="1" width="6.42578125" customWidth="1"/>
    <col min="2" max="2" width="24.5703125" customWidth="1"/>
    <col min="3" max="3" width="34.7109375" customWidth="1"/>
    <col min="4" max="4" width="16.42578125" customWidth="1"/>
    <col min="5" max="5" width="15.42578125" customWidth="1"/>
    <col min="6" max="6" width="29.140625" customWidth="1"/>
    <col min="7" max="7" width="15.7109375" customWidth="1"/>
    <col min="8" max="9" width="6.42578125" hidden="1" customWidth="1"/>
    <col min="10" max="10" width="24.5703125" customWidth="1"/>
    <col min="11" max="11" width="34.7109375" customWidth="1"/>
    <col min="12" max="12" width="16.42578125" customWidth="1"/>
    <col min="13" max="13" width="16" bestFit="1" customWidth="1"/>
    <col min="14" max="14" width="29.140625" customWidth="1"/>
    <col min="15" max="15" width="15.7109375" customWidth="1"/>
    <col min="16" max="17" width="6.42578125" customWidth="1"/>
    <col min="18" max="18" width="24.5703125" customWidth="1"/>
    <col min="19" max="19" width="34.7109375" customWidth="1"/>
    <col min="20" max="20" width="16.42578125" customWidth="1"/>
    <col min="21" max="21" width="16" bestFit="1" customWidth="1"/>
    <col min="22" max="22" width="29.140625" customWidth="1"/>
    <col min="23" max="23" width="15.7109375" customWidth="1"/>
    <col min="24" max="25" width="6.42578125" customWidth="1"/>
    <col min="26" max="26" width="24.5703125" customWidth="1"/>
    <col min="27" max="27" width="34.7109375" customWidth="1"/>
    <col min="28" max="28" width="16.42578125" customWidth="1"/>
    <col min="29" max="29" width="16" bestFit="1" customWidth="1"/>
    <col min="30" max="30" width="29.140625" customWidth="1"/>
    <col min="31" max="31" width="15.7109375" customWidth="1"/>
    <col min="32" max="33" width="6.42578125" customWidth="1"/>
    <col min="34" max="34" width="24.5703125" customWidth="1"/>
    <col min="35" max="35" width="34.7109375" customWidth="1"/>
    <col min="36" max="36" width="16.42578125" customWidth="1"/>
    <col min="37" max="37" width="16" bestFit="1" customWidth="1"/>
    <col min="38" max="38" width="29.140625" customWidth="1"/>
    <col min="39" max="39" width="15.7109375" customWidth="1"/>
    <col min="40" max="41" width="6.42578125" customWidth="1"/>
    <col min="42" max="42" width="24.5703125" customWidth="1"/>
    <col min="43" max="43" width="34.7109375" customWidth="1"/>
    <col min="44" max="44" width="16.42578125" customWidth="1"/>
    <col min="45" max="45" width="16" bestFit="1" customWidth="1"/>
    <col min="46" max="46" width="29.140625" customWidth="1"/>
    <col min="47" max="47" width="15.7109375" customWidth="1"/>
    <col min="48" max="49" width="6.42578125" customWidth="1"/>
    <col min="50" max="50" width="24.5703125" customWidth="1"/>
    <col min="51" max="51" width="34.7109375" customWidth="1"/>
    <col min="52" max="52" width="16.42578125" customWidth="1"/>
    <col min="53" max="53" width="16" bestFit="1" customWidth="1"/>
    <col min="54" max="54" width="29.140625" customWidth="1"/>
    <col min="55" max="55" width="15.7109375" customWidth="1"/>
    <col min="56" max="57" width="6.42578125" customWidth="1"/>
    <col min="58" max="58" width="24.5703125" customWidth="1"/>
    <col min="59" max="59" width="34.7109375" customWidth="1"/>
    <col min="60" max="60" width="16.42578125" customWidth="1"/>
    <col min="61" max="61" width="16" bestFit="1" customWidth="1"/>
    <col min="62" max="62" width="29.140625" customWidth="1"/>
    <col min="63" max="63" width="15.7109375" customWidth="1"/>
    <col min="64" max="65" width="6.42578125" customWidth="1"/>
    <col min="66" max="66" width="24.5703125" customWidth="1"/>
    <col min="67" max="67" width="34.7109375" customWidth="1"/>
    <col min="68" max="68" width="16.42578125" customWidth="1"/>
    <col min="69" max="69" width="16" bestFit="1" customWidth="1"/>
    <col min="70" max="70" width="29.140625" customWidth="1"/>
    <col min="71" max="71" width="15.7109375" customWidth="1"/>
    <col min="72" max="73" width="6.42578125" customWidth="1"/>
    <col min="74" max="74" width="24.5703125" customWidth="1"/>
    <col min="75" max="75" width="34.7109375" customWidth="1"/>
    <col min="76" max="76" width="16.42578125" customWidth="1"/>
    <col min="77" max="77" width="16" bestFit="1" customWidth="1"/>
    <col min="78" max="78" width="29.140625" customWidth="1"/>
    <col min="79" max="79" width="15.7109375" customWidth="1"/>
    <col min="80" max="81" width="6.42578125" customWidth="1"/>
    <col min="82" max="82" width="24.5703125" customWidth="1"/>
    <col min="83" max="83" width="34.7109375" customWidth="1"/>
    <col min="84" max="84" width="16.42578125" customWidth="1"/>
    <col min="85" max="85" width="16" bestFit="1" customWidth="1"/>
    <col min="86" max="86" width="29.140625" customWidth="1"/>
    <col min="87" max="87" width="15.7109375" customWidth="1"/>
    <col min="88" max="89" width="6.42578125" customWidth="1"/>
    <col min="90" max="90" width="24.5703125" customWidth="1"/>
    <col min="91" max="91" width="34.7109375" customWidth="1"/>
    <col min="92" max="92" width="16.42578125" customWidth="1"/>
    <col min="93" max="93" width="16" bestFit="1" customWidth="1"/>
    <col min="94" max="94" width="29.140625" customWidth="1"/>
    <col min="95" max="95" width="15.7109375" customWidth="1"/>
    <col min="96" max="97" width="6.42578125" customWidth="1"/>
    <col min="98" max="98" width="24.5703125" customWidth="1"/>
    <col min="99" max="99" width="34.7109375" customWidth="1"/>
    <col min="100" max="100" width="16.42578125" customWidth="1"/>
    <col min="101" max="101" width="16" bestFit="1" customWidth="1"/>
    <col min="102" max="102" width="29.140625" customWidth="1"/>
    <col min="103" max="103" width="15.7109375" customWidth="1"/>
    <col min="104" max="105" width="6.42578125" customWidth="1"/>
    <col min="106" max="106" width="24.5703125" customWidth="1"/>
    <col min="107" max="107" width="34.7109375" customWidth="1"/>
    <col min="108" max="108" width="16.42578125" customWidth="1"/>
    <col min="109" max="109" width="16" bestFit="1" customWidth="1"/>
    <col min="110" max="110" width="29.140625" customWidth="1"/>
    <col min="111" max="111" width="15.7109375" customWidth="1"/>
    <col min="112" max="113" width="6.42578125" customWidth="1"/>
    <col min="114" max="114" width="24.5703125" customWidth="1"/>
    <col min="115" max="115" width="34.7109375" customWidth="1"/>
    <col min="116" max="116" width="16.42578125" customWidth="1"/>
    <col min="117" max="117" width="16" bestFit="1" customWidth="1"/>
    <col min="118" max="118" width="29.140625" customWidth="1"/>
    <col min="119" max="119" width="15.7109375" customWidth="1"/>
    <col min="120" max="121" width="6.42578125" customWidth="1"/>
    <col min="122" max="122" width="24.5703125" customWidth="1"/>
    <col min="123" max="123" width="34.7109375" customWidth="1"/>
    <col min="124" max="124" width="16.42578125" customWidth="1"/>
    <col min="125" max="125" width="16" bestFit="1" customWidth="1"/>
    <col min="126" max="126" width="29.140625" customWidth="1"/>
    <col min="127" max="127" width="15.7109375" customWidth="1"/>
    <col min="128" max="129" width="6.42578125" customWidth="1"/>
    <col min="130" max="130" width="24.5703125" customWidth="1"/>
    <col min="131" max="131" width="34.7109375" customWidth="1"/>
    <col min="132" max="132" width="16.42578125" customWidth="1"/>
    <col min="133" max="133" width="16" bestFit="1" customWidth="1"/>
    <col min="134" max="134" width="29.140625" customWidth="1"/>
    <col min="135" max="135" width="15.7109375" customWidth="1"/>
    <col min="136" max="137" width="6.42578125" customWidth="1"/>
    <col min="138" max="138" width="24.5703125" customWidth="1"/>
    <col min="139" max="139" width="34.7109375" customWidth="1"/>
    <col min="140" max="140" width="16.42578125" customWidth="1"/>
    <col min="141" max="141" width="16" bestFit="1" customWidth="1"/>
    <col min="142" max="142" width="29.140625" customWidth="1"/>
    <col min="143" max="143" width="15.7109375" customWidth="1"/>
    <col min="144" max="145" width="6.42578125" customWidth="1"/>
    <col min="146" max="146" width="24.5703125" customWidth="1"/>
    <col min="147" max="147" width="34.7109375" customWidth="1"/>
    <col min="148" max="148" width="16.42578125" customWidth="1"/>
    <col min="149" max="149" width="16" bestFit="1" customWidth="1"/>
    <col min="150" max="150" width="29.140625" customWidth="1"/>
    <col min="151" max="151" width="15.7109375" customWidth="1"/>
    <col min="152" max="153" width="6.42578125" customWidth="1"/>
    <col min="154" max="154" width="24.5703125" customWidth="1"/>
    <col min="155" max="155" width="34.7109375" customWidth="1"/>
    <col min="156" max="156" width="16.42578125" customWidth="1"/>
    <col min="157" max="157" width="16" bestFit="1" customWidth="1"/>
    <col min="158" max="158" width="29.140625" customWidth="1"/>
    <col min="159" max="159" width="15.7109375" customWidth="1"/>
    <col min="160" max="161" width="6.42578125" customWidth="1"/>
    <col min="162" max="162" width="24.5703125" customWidth="1"/>
    <col min="163" max="163" width="34.7109375" customWidth="1"/>
    <col min="164" max="164" width="16.42578125" customWidth="1"/>
    <col min="165" max="165" width="16" bestFit="1" customWidth="1"/>
    <col min="166" max="166" width="29.140625" customWidth="1"/>
    <col min="167" max="167" width="15.7109375" customWidth="1"/>
    <col min="168" max="169" width="6.42578125" customWidth="1"/>
    <col min="170" max="170" width="24.5703125" customWidth="1"/>
    <col min="171" max="171" width="34.7109375" customWidth="1"/>
    <col min="172" max="172" width="16.42578125" customWidth="1"/>
    <col min="173" max="173" width="16" bestFit="1" customWidth="1"/>
    <col min="174" max="174" width="29.140625" customWidth="1"/>
    <col min="175" max="175" width="15.7109375" customWidth="1"/>
    <col min="176" max="177" width="6.42578125" customWidth="1"/>
    <col min="178" max="178" width="24.5703125" customWidth="1"/>
    <col min="179" max="179" width="34.7109375" customWidth="1"/>
    <col min="180" max="180" width="16.42578125" customWidth="1"/>
    <col min="181" max="181" width="16" bestFit="1" customWidth="1"/>
    <col min="182" max="182" width="29.140625" customWidth="1"/>
    <col min="183" max="183" width="15.7109375" customWidth="1"/>
    <col min="184" max="185" width="6.42578125" customWidth="1"/>
    <col min="186" max="186" width="24.5703125" customWidth="1"/>
    <col min="187" max="187" width="34.7109375" customWidth="1"/>
    <col min="188" max="188" width="16.42578125" customWidth="1"/>
    <col min="189" max="189" width="16" bestFit="1" customWidth="1"/>
    <col min="190" max="190" width="29.140625" customWidth="1"/>
    <col min="191" max="191" width="15.7109375" customWidth="1"/>
    <col min="192" max="193" width="6.42578125" customWidth="1"/>
    <col min="194" max="194" width="24.5703125" customWidth="1"/>
    <col min="195" max="195" width="34.7109375" customWidth="1"/>
    <col min="196" max="196" width="16.42578125" customWidth="1"/>
    <col min="197" max="197" width="16" bestFit="1" customWidth="1"/>
    <col min="198" max="198" width="29.140625" customWidth="1"/>
    <col min="199" max="199" width="15.7109375" customWidth="1"/>
    <col min="200" max="201" width="6.42578125" customWidth="1"/>
    <col min="202" max="202" width="24.5703125" customWidth="1"/>
    <col min="203" max="203" width="34.7109375" customWidth="1"/>
    <col min="204" max="204" width="16.42578125" customWidth="1"/>
    <col min="205" max="205" width="16" bestFit="1" customWidth="1"/>
    <col min="206" max="206" width="29.140625" customWidth="1"/>
    <col min="207" max="207" width="15.7109375" customWidth="1"/>
    <col min="208" max="209" width="6.42578125" customWidth="1"/>
    <col min="210" max="210" width="24.5703125" customWidth="1"/>
    <col min="211" max="211" width="34.7109375" customWidth="1"/>
    <col min="212" max="212" width="16.42578125" customWidth="1"/>
    <col min="213" max="213" width="16" bestFit="1" customWidth="1"/>
    <col min="214" max="214" width="29.140625" customWidth="1"/>
    <col min="215" max="215" width="15.7109375" customWidth="1"/>
    <col min="216" max="217" width="6.42578125" customWidth="1"/>
    <col min="218" max="218" width="24.5703125" customWidth="1"/>
    <col min="219" max="219" width="34.7109375" customWidth="1"/>
    <col min="220" max="220" width="16.42578125" customWidth="1"/>
    <col min="221" max="221" width="16" bestFit="1" customWidth="1"/>
    <col min="222" max="222" width="29.140625" customWidth="1"/>
    <col min="223" max="223" width="15.7109375" customWidth="1"/>
    <col min="224" max="225" width="6.42578125" customWidth="1"/>
    <col min="226" max="226" width="24.5703125" customWidth="1"/>
    <col min="227" max="227" width="34.7109375" customWidth="1"/>
    <col min="228" max="228" width="16.42578125" customWidth="1"/>
    <col min="229" max="229" width="16" bestFit="1" customWidth="1"/>
    <col min="230" max="230" width="29.140625" customWidth="1"/>
    <col min="231" max="231" width="15.7109375" customWidth="1"/>
    <col min="232" max="233" width="6.42578125" customWidth="1"/>
    <col min="234" max="234" width="24.5703125" customWidth="1"/>
    <col min="235" max="235" width="34.7109375" customWidth="1"/>
    <col min="236" max="236" width="16.42578125" customWidth="1"/>
    <col min="237" max="237" width="16" bestFit="1" customWidth="1"/>
    <col min="238" max="238" width="29.140625" customWidth="1"/>
    <col min="239" max="239" width="15.7109375" customWidth="1"/>
    <col min="240" max="241" width="6.42578125" customWidth="1"/>
    <col min="242" max="242" width="24.5703125" customWidth="1"/>
    <col min="243" max="243" width="34.7109375" customWidth="1"/>
    <col min="244" max="244" width="16.42578125" customWidth="1"/>
    <col min="245" max="245" width="16" bestFit="1" customWidth="1"/>
    <col min="246" max="246" width="29.140625" customWidth="1"/>
    <col min="247" max="247" width="15.7109375" customWidth="1"/>
    <col min="248" max="249" width="6.42578125" customWidth="1"/>
    <col min="250" max="250" width="24.5703125" customWidth="1"/>
    <col min="251" max="251" width="34.7109375" customWidth="1"/>
    <col min="252" max="252" width="16.42578125" customWidth="1"/>
    <col min="253" max="253" width="16" bestFit="1" customWidth="1"/>
    <col min="254" max="254" width="29.140625" customWidth="1"/>
    <col min="255" max="255" width="15.7109375" customWidth="1"/>
    <col min="256" max="257" width="6.42578125" customWidth="1"/>
    <col min="258" max="258" width="24.5703125" customWidth="1"/>
    <col min="259" max="259" width="34.7109375" customWidth="1"/>
    <col min="260" max="260" width="16.42578125" customWidth="1"/>
    <col min="261" max="261" width="16" bestFit="1" customWidth="1"/>
    <col min="262" max="262" width="29.140625" customWidth="1"/>
    <col min="263" max="263" width="15.7109375" customWidth="1"/>
    <col min="264" max="265" width="6.42578125" customWidth="1"/>
    <col min="266" max="266" width="24.5703125" customWidth="1"/>
    <col min="267" max="267" width="34.7109375" customWidth="1"/>
    <col min="268" max="268" width="16.42578125" customWidth="1"/>
    <col min="269" max="269" width="16" bestFit="1" customWidth="1"/>
    <col min="270" max="270" width="29.140625" customWidth="1"/>
    <col min="271" max="271" width="15.7109375" customWidth="1"/>
    <col min="272" max="273" width="6.42578125" customWidth="1"/>
    <col min="274" max="274" width="24.5703125" customWidth="1"/>
    <col min="275" max="275" width="34.7109375" customWidth="1"/>
    <col min="276" max="276" width="16.42578125" customWidth="1"/>
    <col min="277" max="277" width="16" bestFit="1" customWidth="1"/>
    <col min="278" max="278" width="29.140625" customWidth="1"/>
    <col min="279" max="279" width="15.7109375" customWidth="1"/>
    <col min="280" max="281" width="6.42578125" customWidth="1"/>
    <col min="282" max="282" width="24.5703125" customWidth="1"/>
    <col min="283" max="283" width="34.7109375" customWidth="1"/>
    <col min="284" max="284" width="16.42578125" customWidth="1"/>
    <col min="285" max="285" width="16" bestFit="1" customWidth="1"/>
    <col min="286" max="286" width="29.140625" customWidth="1"/>
    <col min="287" max="287" width="15.7109375" customWidth="1"/>
    <col min="288" max="289" width="6.42578125" customWidth="1"/>
    <col min="290" max="290" width="24.5703125" customWidth="1"/>
    <col min="291" max="291" width="34.7109375" customWidth="1"/>
    <col min="292" max="292" width="16.42578125" customWidth="1"/>
    <col min="293" max="293" width="16" bestFit="1" customWidth="1"/>
    <col min="294" max="294" width="29.140625" customWidth="1"/>
    <col min="295" max="295" width="15.7109375" customWidth="1"/>
    <col min="296" max="297" width="6.42578125" customWidth="1"/>
    <col min="298" max="298" width="24.5703125" customWidth="1"/>
    <col min="299" max="299" width="34.7109375" customWidth="1"/>
    <col min="300" max="300" width="16.42578125" customWidth="1"/>
    <col min="301" max="301" width="16" bestFit="1" customWidth="1"/>
    <col min="302" max="302" width="29.140625" customWidth="1"/>
    <col min="303" max="303" width="15.7109375" customWidth="1"/>
    <col min="304" max="305" width="6.42578125" customWidth="1"/>
    <col min="306" max="306" width="24.5703125" customWidth="1"/>
    <col min="307" max="307" width="34.7109375" customWidth="1"/>
    <col min="308" max="308" width="16.42578125" customWidth="1"/>
    <col min="309" max="309" width="16" bestFit="1" customWidth="1"/>
    <col min="310" max="310" width="29.140625" customWidth="1"/>
    <col min="311" max="311" width="15.7109375" customWidth="1"/>
    <col min="312" max="313" width="6.42578125" customWidth="1"/>
    <col min="314" max="314" width="24.5703125" customWidth="1"/>
    <col min="315" max="315" width="34.7109375" customWidth="1"/>
    <col min="316" max="316" width="16.42578125" customWidth="1"/>
    <col min="317" max="317" width="16" bestFit="1" customWidth="1"/>
    <col min="318" max="318" width="29.140625" customWidth="1"/>
    <col min="319" max="319" width="15.7109375" customWidth="1"/>
    <col min="320" max="321" width="6.42578125" customWidth="1"/>
    <col min="322" max="322" width="24.5703125" customWidth="1"/>
    <col min="323" max="323" width="34.7109375" customWidth="1"/>
    <col min="324" max="324" width="16.42578125" customWidth="1"/>
    <col min="325" max="325" width="16" bestFit="1" customWidth="1"/>
    <col min="326" max="326" width="29.140625" customWidth="1"/>
    <col min="327" max="327" width="15.7109375" customWidth="1"/>
    <col min="328" max="329" width="6.42578125" customWidth="1"/>
    <col min="330" max="330" width="24.5703125" customWidth="1"/>
    <col min="331" max="331" width="34.7109375" customWidth="1"/>
    <col min="332" max="332" width="16.42578125" customWidth="1"/>
    <col min="333" max="333" width="16" bestFit="1" customWidth="1"/>
    <col min="334" max="334" width="29.140625" customWidth="1"/>
    <col min="335" max="335" width="15.7109375" customWidth="1"/>
    <col min="336" max="337" width="6.42578125" customWidth="1"/>
    <col min="338" max="338" width="24.5703125" customWidth="1"/>
    <col min="339" max="339" width="34.7109375" customWidth="1"/>
    <col min="340" max="340" width="16.42578125" customWidth="1"/>
    <col min="341" max="341" width="16" bestFit="1" customWidth="1"/>
    <col min="342" max="342" width="29.140625" customWidth="1"/>
    <col min="343" max="343" width="15.7109375" customWidth="1"/>
    <col min="344" max="345" width="6.42578125" customWidth="1"/>
    <col min="346" max="346" width="24.5703125" customWidth="1"/>
    <col min="347" max="347" width="34.7109375" customWidth="1"/>
    <col min="348" max="348" width="16.42578125" customWidth="1"/>
    <col min="349" max="349" width="16" bestFit="1" customWidth="1"/>
    <col min="350" max="350" width="29.140625" customWidth="1"/>
    <col min="351" max="351" width="15.7109375" customWidth="1"/>
    <col min="352" max="353" width="6.42578125" customWidth="1"/>
    <col min="354" max="354" width="24.5703125" customWidth="1"/>
    <col min="355" max="355" width="34.7109375" customWidth="1"/>
    <col min="356" max="356" width="16.42578125" customWidth="1"/>
    <col min="357" max="357" width="16" bestFit="1" customWidth="1"/>
    <col min="358" max="358" width="29.140625" customWidth="1"/>
    <col min="359" max="359" width="15.7109375" customWidth="1"/>
    <col min="360" max="361" width="6.42578125" customWidth="1"/>
    <col min="362" max="362" width="24.5703125" customWidth="1"/>
    <col min="363" max="363" width="34.7109375" customWidth="1"/>
    <col min="364" max="364" width="16.42578125" customWidth="1"/>
    <col min="365" max="365" width="16" bestFit="1" customWidth="1"/>
    <col min="366" max="366" width="29.140625" customWidth="1"/>
    <col min="367" max="367" width="15.7109375" customWidth="1"/>
    <col min="368" max="369" width="6.42578125" customWidth="1"/>
    <col min="370" max="370" width="24.5703125" customWidth="1"/>
    <col min="371" max="371" width="34.7109375" customWidth="1"/>
    <col min="372" max="372" width="16.42578125" customWidth="1"/>
    <col min="373" max="373" width="16" bestFit="1" customWidth="1"/>
    <col min="374" max="374" width="29.140625" customWidth="1"/>
    <col min="375" max="375" width="15.7109375" customWidth="1"/>
    <col min="376" max="377" width="6.42578125" customWidth="1"/>
    <col min="378" max="378" width="24.5703125" customWidth="1"/>
    <col min="379" max="379" width="34.7109375" customWidth="1"/>
    <col min="380" max="380" width="16.42578125" customWidth="1"/>
    <col min="381" max="381" width="16" bestFit="1" customWidth="1"/>
    <col min="382" max="382" width="29.140625" customWidth="1"/>
    <col min="383" max="383" width="15.7109375" customWidth="1"/>
    <col min="384" max="385" width="6.42578125" customWidth="1"/>
    <col min="386" max="386" width="24.5703125" customWidth="1"/>
    <col min="387" max="387" width="34.7109375" customWidth="1"/>
    <col min="388" max="388" width="16.42578125" customWidth="1"/>
    <col min="389" max="389" width="16" bestFit="1" customWidth="1"/>
    <col min="390" max="390" width="29.140625" customWidth="1"/>
    <col min="391" max="391" width="15.7109375" customWidth="1"/>
    <col min="392" max="393" width="6.42578125" customWidth="1"/>
    <col min="394" max="394" width="24.5703125" customWidth="1"/>
    <col min="395" max="395" width="34.7109375" customWidth="1"/>
    <col min="396" max="396" width="16.42578125" customWidth="1"/>
    <col min="397" max="397" width="16" bestFit="1" customWidth="1"/>
    <col min="398" max="398" width="29.140625" customWidth="1"/>
    <col min="399" max="399" width="15.7109375" customWidth="1"/>
    <col min="400" max="401" width="6.42578125" customWidth="1"/>
    <col min="402" max="402" width="24.5703125" customWidth="1"/>
    <col min="403" max="403" width="34.7109375" customWidth="1"/>
    <col min="404" max="404" width="16.42578125" customWidth="1"/>
    <col min="405" max="405" width="16" bestFit="1" customWidth="1"/>
    <col min="406" max="406" width="29.140625" customWidth="1"/>
    <col min="407" max="407" width="15.7109375" customWidth="1"/>
    <col min="408" max="409" width="6.42578125" customWidth="1"/>
    <col min="410" max="410" width="24.5703125" customWidth="1"/>
    <col min="411" max="411" width="34.7109375" customWidth="1"/>
    <col min="412" max="412" width="16.42578125" customWidth="1"/>
    <col min="413" max="413" width="16" bestFit="1" customWidth="1"/>
    <col min="414" max="414" width="29.140625" customWidth="1"/>
    <col min="415" max="415" width="15.7109375" customWidth="1"/>
    <col min="416" max="417" width="6.42578125" customWidth="1"/>
    <col min="418" max="418" width="24.5703125" customWidth="1"/>
    <col min="419" max="419" width="34.7109375" customWidth="1"/>
    <col min="420" max="420" width="16.42578125" customWidth="1"/>
    <col min="421" max="421" width="16" bestFit="1" customWidth="1"/>
    <col min="422" max="422" width="29.140625" customWidth="1"/>
    <col min="423" max="423" width="15.7109375" customWidth="1"/>
    <col min="424" max="425" width="6.42578125" customWidth="1"/>
    <col min="426" max="426" width="24.5703125" customWidth="1"/>
    <col min="427" max="427" width="34.7109375" customWidth="1"/>
    <col min="428" max="428" width="16.42578125" customWidth="1"/>
    <col min="429" max="429" width="16" bestFit="1" customWidth="1"/>
    <col min="430" max="430" width="29.140625" customWidth="1"/>
    <col min="431" max="431" width="15.7109375" customWidth="1"/>
    <col min="432" max="433" width="6.42578125" customWidth="1"/>
    <col min="434" max="434" width="24.5703125" customWidth="1"/>
    <col min="435" max="435" width="34.7109375" customWidth="1"/>
    <col min="436" max="436" width="16.42578125" customWidth="1"/>
    <col min="437" max="437" width="16" bestFit="1" customWidth="1"/>
    <col min="438" max="438" width="29.140625" customWidth="1"/>
    <col min="439" max="439" width="15.7109375" customWidth="1"/>
    <col min="440" max="441" width="6.42578125" customWidth="1"/>
    <col min="442" max="442" width="24.5703125" customWidth="1"/>
    <col min="443" max="443" width="34.7109375" customWidth="1"/>
    <col min="444" max="444" width="16.42578125" customWidth="1"/>
    <col min="445" max="445" width="16" bestFit="1" customWidth="1"/>
    <col min="446" max="446" width="29.140625" customWidth="1"/>
    <col min="447" max="447" width="15.7109375" customWidth="1"/>
    <col min="448" max="449" width="6.42578125" customWidth="1"/>
    <col min="450" max="450" width="24.5703125" customWidth="1"/>
    <col min="451" max="451" width="34.7109375" customWidth="1"/>
    <col min="452" max="452" width="16.42578125" customWidth="1"/>
    <col min="453" max="453" width="16" bestFit="1" customWidth="1"/>
    <col min="454" max="454" width="29.140625" customWidth="1"/>
    <col min="455" max="455" width="15.7109375" customWidth="1"/>
    <col min="456" max="457" width="6.42578125" customWidth="1"/>
    <col min="458" max="458" width="24.5703125" customWidth="1"/>
    <col min="459" max="459" width="34.7109375" customWidth="1"/>
    <col min="460" max="460" width="16.42578125" customWidth="1"/>
    <col min="461" max="461" width="16" bestFit="1" customWidth="1"/>
    <col min="462" max="462" width="29.140625" customWidth="1"/>
    <col min="463" max="463" width="15.7109375" customWidth="1"/>
    <col min="464" max="465" width="6.42578125" customWidth="1"/>
    <col min="466" max="466" width="24.5703125" customWidth="1"/>
    <col min="467" max="467" width="34.7109375" customWidth="1"/>
    <col min="468" max="468" width="16.42578125" customWidth="1"/>
    <col min="469" max="469" width="16" bestFit="1" customWidth="1"/>
    <col min="470" max="470" width="29.140625" customWidth="1"/>
    <col min="471" max="471" width="15.7109375" customWidth="1"/>
    <col min="472" max="473" width="6.42578125" customWidth="1"/>
    <col min="474" max="474" width="24.5703125" customWidth="1"/>
    <col min="475" max="475" width="34.7109375" customWidth="1"/>
    <col min="476" max="476" width="16.42578125" customWidth="1"/>
    <col min="477" max="477" width="16" bestFit="1" customWidth="1"/>
    <col min="478" max="478" width="29.140625" customWidth="1"/>
    <col min="479" max="479" width="15.7109375" customWidth="1"/>
    <col min="480" max="481" width="6.42578125" customWidth="1"/>
    <col min="482" max="482" width="24.5703125" customWidth="1"/>
    <col min="483" max="483" width="34.7109375" customWidth="1"/>
    <col min="484" max="484" width="16.42578125" customWidth="1"/>
    <col min="485" max="485" width="16" bestFit="1" customWidth="1"/>
    <col min="486" max="486" width="29.140625" customWidth="1"/>
    <col min="487" max="487" width="15.7109375" customWidth="1"/>
    <col min="488" max="489" width="6.42578125" customWidth="1"/>
    <col min="490" max="490" width="24.5703125" customWidth="1"/>
    <col min="491" max="491" width="34.7109375" customWidth="1"/>
    <col min="492" max="492" width="16.42578125" customWidth="1"/>
    <col min="493" max="493" width="16" bestFit="1" customWidth="1"/>
    <col min="494" max="494" width="29.140625" customWidth="1"/>
    <col min="495" max="495" width="15.7109375" customWidth="1"/>
    <col min="496" max="497" width="6.42578125" customWidth="1"/>
    <col min="498" max="498" width="24.5703125" customWidth="1"/>
    <col min="499" max="499" width="34.7109375" customWidth="1"/>
    <col min="500" max="500" width="16.42578125" customWidth="1"/>
    <col min="501" max="501" width="16" bestFit="1" customWidth="1"/>
    <col min="502" max="502" width="29.140625" customWidth="1"/>
    <col min="503" max="503" width="15.7109375" customWidth="1"/>
    <col min="504" max="505" width="6.42578125" customWidth="1"/>
    <col min="506" max="506" width="24.5703125" customWidth="1"/>
    <col min="507" max="507" width="34.7109375" customWidth="1"/>
    <col min="508" max="508" width="16.42578125" customWidth="1"/>
    <col min="509" max="509" width="16" bestFit="1" customWidth="1"/>
    <col min="510" max="510" width="29.140625" customWidth="1"/>
    <col min="511" max="511" width="15.7109375" customWidth="1"/>
    <col min="512" max="513" width="6.42578125" customWidth="1"/>
    <col min="514" max="514" width="24.5703125" customWidth="1"/>
    <col min="515" max="515" width="34.7109375" customWidth="1"/>
    <col min="516" max="516" width="16.42578125" customWidth="1"/>
    <col min="517" max="517" width="16" bestFit="1" customWidth="1"/>
    <col min="518" max="518" width="29.140625" customWidth="1"/>
    <col min="519" max="519" width="15.7109375" customWidth="1"/>
    <col min="520" max="521" width="6.42578125" customWidth="1"/>
    <col min="522" max="522" width="24.5703125" customWidth="1"/>
    <col min="523" max="523" width="34.7109375" customWidth="1"/>
    <col min="524" max="524" width="16.42578125" customWidth="1"/>
    <col min="525" max="525" width="16" bestFit="1" customWidth="1"/>
    <col min="526" max="526" width="29.140625" customWidth="1"/>
    <col min="527" max="527" width="15.7109375" customWidth="1"/>
    <col min="528" max="529" width="6.42578125" customWidth="1"/>
    <col min="530" max="530" width="24.5703125" customWidth="1"/>
    <col min="531" max="531" width="34.7109375" customWidth="1"/>
    <col min="532" max="532" width="16.42578125" customWidth="1"/>
    <col min="533" max="533" width="16" bestFit="1" customWidth="1"/>
    <col min="534" max="534" width="29.140625" customWidth="1"/>
    <col min="535" max="535" width="15.7109375" customWidth="1"/>
    <col min="536" max="537" width="6.42578125" customWidth="1"/>
    <col min="538" max="538" width="24.5703125" customWidth="1"/>
    <col min="539" max="539" width="34.7109375" customWidth="1"/>
    <col min="540" max="540" width="16.42578125" customWidth="1"/>
    <col min="541" max="541" width="16" bestFit="1" customWidth="1"/>
    <col min="542" max="542" width="29.140625" customWidth="1"/>
    <col min="543" max="543" width="15.7109375" customWidth="1"/>
    <col min="544" max="545" width="6.42578125" customWidth="1"/>
    <col min="546" max="546" width="24.5703125" customWidth="1"/>
    <col min="547" max="547" width="34.7109375" customWidth="1"/>
    <col min="548" max="548" width="16.42578125" customWidth="1"/>
    <col min="549" max="549" width="16" bestFit="1" customWidth="1"/>
    <col min="550" max="550" width="29.140625" customWidth="1"/>
    <col min="551" max="551" width="15.7109375" customWidth="1"/>
    <col min="552" max="553" width="6.42578125" customWidth="1"/>
    <col min="554" max="554" width="24.5703125" customWidth="1"/>
    <col min="555" max="555" width="34.7109375" customWidth="1"/>
    <col min="556" max="556" width="16.42578125" customWidth="1"/>
    <col min="557" max="557" width="16" bestFit="1" customWidth="1"/>
    <col min="558" max="558" width="29.140625" customWidth="1"/>
    <col min="559" max="559" width="15.7109375" customWidth="1"/>
    <col min="560" max="561" width="6.42578125" customWidth="1"/>
    <col min="562" max="562" width="24.5703125" customWidth="1"/>
    <col min="563" max="563" width="34.7109375" customWidth="1"/>
    <col min="564" max="564" width="16.42578125" customWidth="1"/>
    <col min="565" max="565" width="16" bestFit="1" customWidth="1"/>
    <col min="566" max="566" width="29.140625" customWidth="1"/>
    <col min="567" max="567" width="15.7109375" customWidth="1"/>
    <col min="568" max="569" width="6.42578125" customWidth="1"/>
    <col min="570" max="570" width="24.5703125" customWidth="1"/>
    <col min="571" max="571" width="34.7109375" customWidth="1"/>
    <col min="572" max="572" width="16.42578125" customWidth="1"/>
    <col min="573" max="573" width="16" bestFit="1" customWidth="1"/>
    <col min="574" max="574" width="29.140625" customWidth="1"/>
    <col min="575" max="575" width="15.7109375" customWidth="1"/>
    <col min="576" max="577" width="6.42578125" customWidth="1"/>
    <col min="578" max="578" width="24.5703125" customWidth="1"/>
    <col min="579" max="579" width="34.7109375" customWidth="1"/>
    <col min="580" max="580" width="16.42578125" customWidth="1"/>
    <col min="581" max="581" width="16" bestFit="1" customWidth="1"/>
    <col min="582" max="582" width="29.140625" customWidth="1"/>
    <col min="583" max="583" width="15.7109375" customWidth="1"/>
    <col min="584" max="585" width="6.42578125" customWidth="1"/>
    <col min="586" max="586" width="24.5703125" customWidth="1"/>
    <col min="587" max="587" width="34.7109375" customWidth="1"/>
    <col min="588" max="588" width="16.42578125" customWidth="1"/>
    <col min="589" max="589" width="16" bestFit="1" customWidth="1"/>
    <col min="590" max="590" width="29.140625" customWidth="1"/>
    <col min="591" max="591" width="15.7109375" customWidth="1"/>
    <col min="592" max="593" width="6.42578125" customWidth="1"/>
    <col min="594" max="594" width="24.5703125" customWidth="1"/>
    <col min="595" max="595" width="34.7109375" customWidth="1"/>
    <col min="596" max="596" width="16.42578125" customWidth="1"/>
    <col min="597" max="597" width="16" bestFit="1" customWidth="1"/>
    <col min="598" max="598" width="29.140625" customWidth="1"/>
    <col min="599" max="599" width="15.7109375" customWidth="1"/>
    <col min="600" max="601" width="6.42578125" customWidth="1"/>
    <col min="602" max="602" width="24.5703125" customWidth="1"/>
    <col min="603" max="603" width="34.7109375" customWidth="1"/>
    <col min="604" max="604" width="16.42578125" customWidth="1"/>
    <col min="605" max="605" width="16" bestFit="1" customWidth="1"/>
    <col min="606" max="606" width="29.140625" customWidth="1"/>
    <col min="607" max="607" width="15.7109375" customWidth="1"/>
    <col min="608" max="609" width="6.42578125" customWidth="1"/>
    <col min="610" max="610" width="24.5703125" customWidth="1"/>
    <col min="611" max="611" width="34.7109375" customWidth="1"/>
    <col min="612" max="612" width="16.42578125" customWidth="1"/>
    <col min="613" max="613" width="16" bestFit="1" customWidth="1"/>
    <col min="614" max="614" width="29.140625" customWidth="1"/>
    <col min="615" max="615" width="15.7109375" customWidth="1"/>
    <col min="616" max="617" width="6.42578125" customWidth="1"/>
    <col min="618" max="618" width="24.5703125" customWidth="1"/>
    <col min="619" max="619" width="34.7109375" customWidth="1"/>
    <col min="620" max="620" width="16.42578125" customWidth="1"/>
    <col min="621" max="621" width="16" bestFit="1" customWidth="1"/>
    <col min="622" max="622" width="29.140625" customWidth="1"/>
    <col min="623" max="623" width="15.7109375" customWidth="1"/>
    <col min="624" max="625" width="6.42578125" customWidth="1"/>
    <col min="626" max="626" width="24.5703125" customWidth="1"/>
    <col min="627" max="627" width="34.7109375" customWidth="1"/>
    <col min="628" max="628" width="16.42578125" customWidth="1"/>
    <col min="629" max="629" width="16" bestFit="1" customWidth="1"/>
    <col min="630" max="630" width="29.140625" customWidth="1"/>
    <col min="631" max="631" width="15.7109375" customWidth="1"/>
    <col min="632" max="633" width="6.42578125" customWidth="1"/>
    <col min="634" max="634" width="24.5703125" customWidth="1"/>
    <col min="635" max="635" width="34.7109375" customWidth="1"/>
    <col min="636" max="636" width="16.42578125" customWidth="1"/>
    <col min="637" max="637" width="16" bestFit="1" customWidth="1"/>
    <col min="638" max="638" width="29.140625" customWidth="1"/>
    <col min="639" max="639" width="15.7109375" customWidth="1"/>
    <col min="640" max="641" width="6.42578125" customWidth="1"/>
    <col min="642" max="642" width="24.5703125" customWidth="1"/>
    <col min="643" max="643" width="34.7109375" customWidth="1"/>
    <col min="644" max="644" width="16.42578125" customWidth="1"/>
    <col min="645" max="645" width="16" bestFit="1" customWidth="1"/>
    <col min="646" max="646" width="29.140625" customWidth="1"/>
    <col min="647" max="647" width="15.7109375" customWidth="1"/>
    <col min="648" max="649" width="6.42578125" customWidth="1"/>
    <col min="650" max="650" width="24.5703125" customWidth="1"/>
    <col min="651" max="651" width="34.7109375" customWidth="1"/>
    <col min="652" max="652" width="16.42578125" customWidth="1"/>
    <col min="653" max="653" width="16" bestFit="1" customWidth="1"/>
    <col min="654" max="654" width="29.140625" customWidth="1"/>
    <col min="655" max="655" width="15.7109375" customWidth="1"/>
    <col min="656" max="657" width="6.42578125" customWidth="1"/>
    <col min="658" max="658" width="24.5703125" customWidth="1"/>
    <col min="659" max="659" width="34.7109375" customWidth="1"/>
    <col min="660" max="660" width="16.42578125" customWidth="1"/>
    <col min="661" max="661" width="16" bestFit="1" customWidth="1"/>
    <col min="662" max="662" width="29.140625" customWidth="1"/>
    <col min="663" max="663" width="15.7109375" customWidth="1"/>
    <col min="664" max="665" width="6.42578125" customWidth="1"/>
    <col min="666" max="666" width="24.5703125" customWidth="1"/>
    <col min="667" max="667" width="34.7109375" customWidth="1"/>
    <col min="668" max="668" width="16.42578125" customWidth="1"/>
    <col min="669" max="669" width="16" bestFit="1" customWidth="1"/>
    <col min="670" max="670" width="29.140625" customWidth="1"/>
    <col min="671" max="671" width="15.7109375" customWidth="1"/>
    <col min="672" max="673" width="6.42578125" customWidth="1"/>
    <col min="674" max="674" width="24.5703125" customWidth="1"/>
    <col min="675" max="675" width="34.7109375" customWidth="1"/>
    <col min="676" max="676" width="16.42578125" customWidth="1"/>
    <col min="677" max="677" width="16" bestFit="1" customWidth="1"/>
    <col min="678" max="678" width="29.140625" customWidth="1"/>
    <col min="679" max="679" width="15.7109375" customWidth="1"/>
    <col min="680" max="681" width="6.42578125" customWidth="1"/>
    <col min="682" max="682" width="24.5703125" customWidth="1"/>
    <col min="683" max="683" width="34.7109375" customWidth="1"/>
    <col min="684" max="684" width="16.42578125" customWidth="1"/>
    <col min="685" max="685" width="16" bestFit="1" customWidth="1"/>
    <col min="686" max="686" width="29.140625" customWidth="1"/>
    <col min="687" max="687" width="15.7109375" customWidth="1"/>
    <col min="688" max="689" width="6.42578125" customWidth="1"/>
    <col min="690" max="690" width="24.5703125" customWidth="1"/>
    <col min="691" max="691" width="34.7109375" customWidth="1"/>
    <col min="692" max="692" width="16.42578125" customWidth="1"/>
    <col min="693" max="693" width="16" bestFit="1" customWidth="1"/>
    <col min="694" max="694" width="29.140625" customWidth="1"/>
    <col min="695" max="695" width="15.7109375" customWidth="1"/>
    <col min="696" max="697" width="6.42578125" customWidth="1"/>
    <col min="698" max="698" width="24.5703125" customWidth="1"/>
    <col min="699" max="699" width="34.7109375" customWidth="1"/>
    <col min="700" max="700" width="16.42578125" customWidth="1"/>
    <col min="701" max="701" width="16" bestFit="1" customWidth="1"/>
    <col min="702" max="702" width="29.140625" customWidth="1"/>
    <col min="703" max="703" width="15.7109375" customWidth="1"/>
    <col min="704" max="705" width="6.42578125" customWidth="1"/>
    <col min="706" max="706" width="24.5703125" customWidth="1"/>
    <col min="707" max="707" width="34.7109375" customWidth="1"/>
    <col min="708" max="708" width="16.42578125" customWidth="1"/>
    <col min="709" max="709" width="16" bestFit="1" customWidth="1"/>
    <col min="710" max="710" width="29.140625" customWidth="1"/>
    <col min="711" max="711" width="15.7109375" customWidth="1"/>
    <col min="712" max="713" width="6.42578125" customWidth="1"/>
    <col min="714" max="714" width="24.5703125" customWidth="1"/>
    <col min="715" max="715" width="34.7109375" customWidth="1"/>
    <col min="716" max="716" width="16.42578125" customWidth="1"/>
    <col min="717" max="717" width="16" bestFit="1" customWidth="1"/>
    <col min="718" max="718" width="29.140625" customWidth="1"/>
    <col min="719" max="719" width="15.7109375" customWidth="1"/>
    <col min="720" max="721" width="6.42578125" customWidth="1"/>
    <col min="722" max="722" width="24.5703125" customWidth="1"/>
    <col min="723" max="723" width="34.7109375" customWidth="1"/>
    <col min="724" max="724" width="16.42578125" customWidth="1"/>
    <col min="725" max="725" width="16" bestFit="1" customWidth="1"/>
    <col min="726" max="726" width="29.140625" customWidth="1"/>
    <col min="727" max="727" width="15.7109375" customWidth="1"/>
    <col min="728" max="729" width="6.42578125" customWidth="1"/>
    <col min="730" max="730" width="24.5703125" customWidth="1"/>
    <col min="731" max="731" width="34.7109375" customWidth="1"/>
    <col min="732" max="732" width="16.42578125" customWidth="1"/>
    <col min="733" max="733" width="16" bestFit="1" customWidth="1"/>
    <col min="734" max="734" width="29.140625" customWidth="1"/>
    <col min="735" max="735" width="15.7109375" customWidth="1"/>
    <col min="736" max="737" width="6.42578125" customWidth="1"/>
    <col min="738" max="738" width="24.5703125" customWidth="1"/>
    <col min="739" max="739" width="34.7109375" customWidth="1"/>
    <col min="740" max="740" width="16.42578125" customWidth="1"/>
    <col min="741" max="741" width="16" bestFit="1" customWidth="1"/>
    <col min="742" max="742" width="29.140625" customWidth="1"/>
    <col min="743" max="743" width="15.7109375" customWidth="1"/>
    <col min="744" max="745" width="6.42578125" customWidth="1"/>
    <col min="746" max="746" width="24.5703125" customWidth="1"/>
    <col min="747" max="747" width="34.7109375" customWidth="1"/>
    <col min="748" max="748" width="16.42578125" customWidth="1"/>
    <col min="749" max="749" width="16" bestFit="1" customWidth="1"/>
    <col min="750" max="750" width="29.140625" customWidth="1"/>
    <col min="751" max="751" width="15.7109375" customWidth="1"/>
    <col min="752" max="753" width="6.42578125" customWidth="1"/>
    <col min="754" max="754" width="24.5703125" customWidth="1"/>
    <col min="755" max="755" width="34.7109375" customWidth="1"/>
    <col min="756" max="756" width="16.42578125" customWidth="1"/>
    <col min="757" max="757" width="16" bestFit="1" customWidth="1"/>
    <col min="758" max="758" width="29.140625" customWidth="1"/>
    <col min="759" max="759" width="15.7109375" customWidth="1"/>
    <col min="760" max="761" width="6.42578125" customWidth="1"/>
    <col min="762" max="762" width="24.5703125" customWidth="1"/>
    <col min="763" max="763" width="34.7109375" customWidth="1"/>
    <col min="764" max="764" width="16.42578125" customWidth="1"/>
    <col min="765" max="765" width="16" bestFit="1" customWidth="1"/>
    <col min="766" max="766" width="29.140625" customWidth="1"/>
    <col min="767" max="767" width="15.7109375" customWidth="1"/>
    <col min="768" max="769" width="6.42578125" customWidth="1"/>
    <col min="770" max="770" width="24.5703125" customWidth="1"/>
    <col min="771" max="771" width="34.7109375" customWidth="1"/>
    <col min="772" max="772" width="16.42578125" customWidth="1"/>
    <col min="773" max="773" width="16" bestFit="1" customWidth="1"/>
    <col min="774" max="774" width="29.140625" customWidth="1"/>
    <col min="775" max="775" width="15.7109375" customWidth="1"/>
    <col min="776" max="777" width="6.42578125" customWidth="1"/>
    <col min="778" max="778" width="24.5703125" customWidth="1"/>
    <col min="779" max="779" width="34.7109375" customWidth="1"/>
    <col min="780" max="780" width="16.42578125" customWidth="1"/>
    <col min="781" max="781" width="16" bestFit="1" customWidth="1"/>
    <col min="782" max="782" width="29.140625" customWidth="1"/>
    <col min="783" max="783" width="15.7109375" customWidth="1"/>
    <col min="784" max="785" width="6.42578125" customWidth="1"/>
    <col min="786" max="786" width="24.5703125" customWidth="1"/>
    <col min="787" max="787" width="34.7109375" customWidth="1"/>
    <col min="788" max="788" width="16.42578125" customWidth="1"/>
    <col min="789" max="789" width="16" bestFit="1" customWidth="1"/>
    <col min="790" max="790" width="29.140625" customWidth="1"/>
    <col min="791" max="791" width="15.7109375" customWidth="1"/>
    <col min="792" max="793" width="6.42578125" customWidth="1"/>
    <col min="794" max="794" width="24.5703125" customWidth="1"/>
    <col min="795" max="795" width="34.7109375" customWidth="1"/>
    <col min="796" max="796" width="16.42578125" customWidth="1"/>
    <col min="797" max="797" width="16" bestFit="1" customWidth="1"/>
    <col min="798" max="798" width="29.140625" customWidth="1"/>
    <col min="799" max="799" width="15.7109375" customWidth="1"/>
    <col min="800" max="801" width="6.42578125" customWidth="1"/>
    <col min="802" max="802" width="24.5703125" customWidth="1"/>
    <col min="803" max="803" width="34.7109375" customWidth="1"/>
    <col min="804" max="804" width="16.42578125" customWidth="1"/>
    <col min="805" max="805" width="16" bestFit="1" customWidth="1"/>
    <col min="806" max="806" width="29.140625" customWidth="1"/>
    <col min="807" max="807" width="15.7109375" customWidth="1"/>
    <col min="808" max="809" width="6.42578125" customWidth="1"/>
    <col min="810" max="810" width="24.5703125" customWidth="1"/>
    <col min="811" max="811" width="34.7109375" customWidth="1"/>
    <col min="812" max="812" width="16.42578125" customWidth="1"/>
    <col min="813" max="813" width="16" bestFit="1" customWidth="1"/>
    <col min="814" max="814" width="29.140625" customWidth="1"/>
    <col min="815" max="815" width="15.7109375" customWidth="1"/>
    <col min="816" max="817" width="6.42578125" customWidth="1"/>
    <col min="818" max="818" width="24.5703125" customWidth="1"/>
    <col min="819" max="819" width="34.7109375" customWidth="1"/>
    <col min="820" max="820" width="16.42578125" customWidth="1"/>
    <col min="821" max="821" width="16" bestFit="1" customWidth="1"/>
    <col min="822" max="822" width="29.140625" customWidth="1"/>
    <col min="823" max="823" width="15.7109375" customWidth="1"/>
    <col min="824" max="825" width="6.42578125" customWidth="1"/>
    <col min="826" max="826" width="24.5703125" customWidth="1"/>
    <col min="827" max="827" width="34.7109375" customWidth="1"/>
    <col min="828" max="828" width="16.42578125" customWidth="1"/>
    <col min="829" max="829" width="16" bestFit="1" customWidth="1"/>
    <col min="830" max="830" width="29.140625" customWidth="1"/>
    <col min="831" max="831" width="15.7109375" customWidth="1"/>
    <col min="832" max="833" width="6.42578125" customWidth="1"/>
    <col min="834" max="834" width="24.5703125" customWidth="1"/>
    <col min="835" max="835" width="34.7109375" customWidth="1"/>
    <col min="836" max="836" width="16.42578125" customWidth="1"/>
    <col min="837" max="837" width="16" bestFit="1" customWidth="1"/>
    <col min="838" max="838" width="29.140625" customWidth="1"/>
    <col min="839" max="839" width="15.7109375" customWidth="1"/>
    <col min="840" max="841" width="6.42578125" customWidth="1"/>
    <col min="842" max="842" width="24.5703125" customWidth="1"/>
    <col min="843" max="843" width="34.7109375" customWidth="1"/>
    <col min="844" max="844" width="16.42578125" customWidth="1"/>
    <col min="845" max="845" width="16" bestFit="1" customWidth="1"/>
    <col min="846" max="846" width="29.140625" customWidth="1"/>
    <col min="847" max="847" width="15.7109375" customWidth="1"/>
    <col min="848" max="849" width="6.42578125" customWidth="1"/>
    <col min="850" max="850" width="24.5703125" customWidth="1"/>
    <col min="851" max="851" width="34.7109375" customWidth="1"/>
    <col min="852" max="852" width="16.42578125" customWidth="1"/>
    <col min="853" max="853" width="16" bestFit="1" customWidth="1"/>
    <col min="854" max="854" width="29.140625" customWidth="1"/>
    <col min="855" max="855" width="15.7109375" customWidth="1"/>
    <col min="856" max="857" width="6.42578125" customWidth="1"/>
    <col min="858" max="858" width="24.5703125" customWidth="1"/>
    <col min="859" max="859" width="34.7109375" customWidth="1"/>
    <col min="860" max="860" width="16.42578125" customWidth="1"/>
    <col min="861" max="861" width="16" bestFit="1" customWidth="1"/>
    <col min="862" max="862" width="29.140625" customWidth="1"/>
    <col min="863" max="863" width="15.7109375" customWidth="1"/>
    <col min="864" max="865" width="6.42578125" customWidth="1"/>
    <col min="866" max="866" width="24.5703125" customWidth="1"/>
    <col min="867" max="867" width="34.7109375" customWidth="1"/>
    <col min="868" max="868" width="16.42578125" customWidth="1"/>
    <col min="869" max="869" width="16" bestFit="1" customWidth="1"/>
    <col min="870" max="870" width="29.140625" customWidth="1"/>
    <col min="871" max="871" width="15.7109375" customWidth="1"/>
    <col min="872" max="873" width="6.42578125" customWidth="1"/>
    <col min="874" max="874" width="24.5703125" customWidth="1"/>
    <col min="875" max="875" width="34.7109375" customWidth="1"/>
    <col min="876" max="876" width="16.42578125" customWidth="1"/>
    <col min="877" max="877" width="16" bestFit="1" customWidth="1"/>
    <col min="878" max="878" width="29.140625" customWidth="1"/>
    <col min="879" max="879" width="15.7109375" customWidth="1"/>
    <col min="880" max="881" width="6.42578125" customWidth="1"/>
    <col min="882" max="882" width="24.5703125" customWidth="1"/>
    <col min="883" max="883" width="34.7109375" customWidth="1"/>
    <col min="884" max="884" width="16.42578125" customWidth="1"/>
    <col min="885" max="885" width="16" bestFit="1" customWidth="1"/>
    <col min="886" max="886" width="29.140625" customWidth="1"/>
    <col min="887" max="887" width="15.7109375" customWidth="1"/>
    <col min="888" max="889" width="6.42578125" customWidth="1"/>
    <col min="890" max="890" width="24.5703125" customWidth="1"/>
    <col min="891" max="891" width="34.7109375" customWidth="1"/>
    <col min="892" max="892" width="16.42578125" customWidth="1"/>
    <col min="893" max="893" width="16" bestFit="1" customWidth="1"/>
    <col min="894" max="894" width="29.140625" customWidth="1"/>
    <col min="895" max="895" width="15.7109375" customWidth="1"/>
    <col min="896" max="897" width="6.42578125" customWidth="1"/>
    <col min="898" max="898" width="24.5703125" customWidth="1"/>
    <col min="899" max="899" width="34.7109375" customWidth="1"/>
    <col min="900" max="900" width="16.42578125" customWidth="1"/>
    <col min="901" max="901" width="16" bestFit="1" customWidth="1"/>
    <col min="902" max="902" width="29.140625" customWidth="1"/>
    <col min="903" max="903" width="15.7109375" customWidth="1"/>
    <col min="904" max="905" width="6.42578125" customWidth="1"/>
    <col min="906" max="906" width="24.5703125" customWidth="1"/>
    <col min="907" max="907" width="34.7109375" customWidth="1"/>
    <col min="908" max="908" width="16.42578125" customWidth="1"/>
    <col min="909" max="909" width="16" bestFit="1" customWidth="1"/>
    <col min="910" max="910" width="29.140625" customWidth="1"/>
    <col min="911" max="911" width="15.7109375" customWidth="1"/>
    <col min="912" max="913" width="6.42578125" customWidth="1"/>
    <col min="914" max="914" width="24.5703125" customWidth="1"/>
    <col min="915" max="915" width="34.7109375" customWidth="1"/>
    <col min="916" max="916" width="16.42578125" customWidth="1"/>
    <col min="917" max="917" width="16" bestFit="1" customWidth="1"/>
    <col min="918" max="918" width="29.140625" customWidth="1"/>
    <col min="919" max="919" width="15.7109375" customWidth="1"/>
    <col min="920" max="921" width="6.42578125" customWidth="1"/>
    <col min="922" max="922" width="24.5703125" customWidth="1"/>
    <col min="923" max="923" width="34.7109375" customWidth="1"/>
    <col min="924" max="924" width="16.42578125" customWidth="1"/>
    <col min="925" max="925" width="16" bestFit="1" customWidth="1"/>
    <col min="926" max="926" width="29.140625" customWidth="1"/>
    <col min="927" max="927" width="15.7109375" customWidth="1"/>
    <col min="928" max="929" width="6.42578125" customWidth="1"/>
    <col min="930" max="930" width="24.5703125" customWidth="1"/>
    <col min="931" max="931" width="34.7109375" customWidth="1"/>
    <col min="932" max="932" width="16.42578125" customWidth="1"/>
    <col min="933" max="933" width="16" bestFit="1" customWidth="1"/>
    <col min="934" max="934" width="29.140625" customWidth="1"/>
    <col min="935" max="935" width="15.7109375" customWidth="1"/>
    <col min="936" max="937" width="6.42578125" customWidth="1"/>
    <col min="938" max="938" width="24.5703125" customWidth="1"/>
    <col min="939" max="939" width="34.7109375" customWidth="1"/>
    <col min="940" max="940" width="16.42578125" customWidth="1"/>
    <col min="941" max="941" width="16" bestFit="1" customWidth="1"/>
    <col min="942" max="942" width="29.140625" customWidth="1"/>
    <col min="943" max="943" width="15.7109375" customWidth="1"/>
    <col min="944" max="945" width="6.42578125" customWidth="1"/>
    <col min="946" max="946" width="24.5703125" customWidth="1"/>
    <col min="947" max="947" width="34.7109375" customWidth="1"/>
    <col min="948" max="948" width="16.42578125" customWidth="1"/>
    <col min="949" max="949" width="16" bestFit="1" customWidth="1"/>
    <col min="950" max="950" width="29.140625" customWidth="1"/>
    <col min="951" max="951" width="15.7109375" customWidth="1"/>
    <col min="952" max="953" width="6.42578125" customWidth="1"/>
    <col min="954" max="954" width="24.5703125" customWidth="1"/>
    <col min="955" max="955" width="34.7109375" customWidth="1"/>
    <col min="956" max="956" width="16.42578125" customWidth="1"/>
    <col min="957" max="957" width="16" bestFit="1" customWidth="1"/>
    <col min="958" max="958" width="29.140625" customWidth="1"/>
    <col min="959" max="959" width="15.7109375" customWidth="1"/>
    <col min="960" max="961" width="6.42578125" customWidth="1"/>
    <col min="962" max="962" width="24.5703125" customWidth="1"/>
    <col min="963" max="963" width="34.7109375" customWidth="1"/>
    <col min="964" max="964" width="16.42578125" customWidth="1"/>
    <col min="965" max="965" width="16" bestFit="1" customWidth="1"/>
    <col min="966" max="966" width="29.140625" customWidth="1"/>
    <col min="967" max="967" width="15.7109375" customWidth="1"/>
    <col min="968" max="969" width="6.42578125" customWidth="1"/>
    <col min="970" max="970" width="24.5703125" customWidth="1"/>
    <col min="971" max="971" width="34.7109375" customWidth="1"/>
    <col min="972" max="972" width="16.42578125" customWidth="1"/>
    <col min="973" max="973" width="16" bestFit="1" customWidth="1"/>
    <col min="974" max="974" width="29.140625" customWidth="1"/>
    <col min="975" max="975" width="15.7109375" customWidth="1"/>
    <col min="976" max="977" width="6.42578125" customWidth="1"/>
    <col min="978" max="978" width="24.5703125" customWidth="1"/>
    <col min="979" max="979" width="34.7109375" customWidth="1"/>
    <col min="980" max="980" width="16.42578125" customWidth="1"/>
    <col min="981" max="981" width="16" bestFit="1" customWidth="1"/>
    <col min="982" max="982" width="29.140625" customWidth="1"/>
    <col min="983" max="983" width="15.7109375" customWidth="1"/>
    <col min="984" max="985" width="6.42578125" customWidth="1"/>
    <col min="986" max="986" width="24.5703125" customWidth="1"/>
    <col min="987" max="987" width="34.7109375" customWidth="1"/>
    <col min="988" max="988" width="16.42578125" customWidth="1"/>
    <col min="989" max="989" width="16" bestFit="1" customWidth="1"/>
    <col min="990" max="990" width="29.140625" customWidth="1"/>
    <col min="991" max="991" width="15.7109375" customWidth="1"/>
    <col min="992" max="993" width="6.42578125" customWidth="1"/>
    <col min="994" max="994" width="24.5703125" customWidth="1"/>
    <col min="995" max="995" width="34.7109375" customWidth="1"/>
    <col min="996" max="996" width="16.42578125" customWidth="1"/>
    <col min="997" max="997" width="16" bestFit="1" customWidth="1"/>
    <col min="998" max="998" width="29.140625" customWidth="1"/>
    <col min="999" max="999" width="15.7109375" customWidth="1"/>
    <col min="1000" max="1001" width="6.42578125" customWidth="1"/>
    <col min="1002" max="1002" width="24.5703125" customWidth="1"/>
    <col min="1003" max="1003" width="34.7109375" customWidth="1"/>
    <col min="1004" max="1004" width="16.42578125" customWidth="1"/>
    <col min="1005" max="1005" width="16" bestFit="1" customWidth="1"/>
    <col min="1006" max="1006" width="29.140625" customWidth="1"/>
    <col min="1007" max="1007" width="15.7109375" customWidth="1"/>
    <col min="1008" max="1009" width="6.42578125" customWidth="1"/>
    <col min="1010" max="1010" width="24.5703125" customWidth="1"/>
    <col min="1011" max="1011" width="34.7109375" customWidth="1"/>
    <col min="1012" max="1012" width="16.42578125" customWidth="1"/>
    <col min="1013" max="1013" width="16" bestFit="1" customWidth="1"/>
    <col min="1014" max="1014" width="29.140625" customWidth="1"/>
    <col min="1015" max="1015" width="15.7109375" customWidth="1"/>
    <col min="1016" max="1017" width="6.42578125" customWidth="1"/>
    <col min="1018" max="1018" width="24.5703125" customWidth="1"/>
    <col min="1019" max="1019" width="34.7109375" customWidth="1"/>
    <col min="1020" max="1020" width="16.42578125" customWidth="1"/>
    <col min="1021" max="1021" width="16" bestFit="1" customWidth="1"/>
    <col min="1022" max="1022" width="29.140625" customWidth="1"/>
    <col min="1023" max="1023" width="15.7109375" customWidth="1"/>
    <col min="1024" max="1025" width="6.42578125" customWidth="1"/>
    <col min="1026" max="1026" width="24.5703125" customWidth="1"/>
    <col min="1027" max="1027" width="34.7109375" customWidth="1"/>
    <col min="1028" max="1028" width="16.42578125" customWidth="1"/>
    <col min="1029" max="1029" width="16" bestFit="1" customWidth="1"/>
    <col min="1030" max="1030" width="29.140625" customWidth="1"/>
    <col min="1031" max="1031" width="15.7109375" customWidth="1"/>
    <col min="1032" max="1033" width="6.42578125" customWidth="1"/>
    <col min="1034" max="1034" width="24.5703125" customWidth="1"/>
    <col min="1035" max="1035" width="34.7109375" customWidth="1"/>
    <col min="1036" max="1036" width="16.42578125" customWidth="1"/>
    <col min="1037" max="1037" width="16" bestFit="1" customWidth="1"/>
    <col min="1038" max="1038" width="29.140625" customWidth="1"/>
    <col min="1039" max="1039" width="15.7109375" customWidth="1"/>
    <col min="1040" max="1041" width="6.42578125" customWidth="1"/>
    <col min="1042" max="1042" width="24.5703125" customWidth="1"/>
    <col min="1043" max="1043" width="34.7109375" customWidth="1"/>
    <col min="1044" max="1044" width="16.42578125" customWidth="1"/>
    <col min="1045" max="1045" width="16" bestFit="1" customWidth="1"/>
    <col min="1046" max="1046" width="29.140625" customWidth="1"/>
    <col min="1047" max="1047" width="15.7109375" customWidth="1"/>
    <col min="1048" max="1049" width="6.42578125" customWidth="1"/>
    <col min="1050" max="1050" width="24.5703125" customWidth="1"/>
    <col min="1051" max="1051" width="34.7109375" customWidth="1"/>
    <col min="1052" max="1052" width="16.42578125" customWidth="1"/>
    <col min="1053" max="1053" width="16" bestFit="1" customWidth="1"/>
    <col min="1054" max="1054" width="29.140625" customWidth="1"/>
    <col min="1055" max="1055" width="15.7109375" customWidth="1"/>
    <col min="1056" max="1057" width="6.42578125" customWidth="1"/>
    <col min="1058" max="1058" width="24.5703125" customWidth="1"/>
    <col min="1059" max="1059" width="34.7109375" customWidth="1"/>
    <col min="1060" max="1060" width="16.42578125" customWidth="1"/>
    <col min="1061" max="1061" width="16" bestFit="1" customWidth="1"/>
    <col min="1062" max="1062" width="29.140625" customWidth="1"/>
    <col min="1063" max="1063" width="15.7109375" customWidth="1"/>
    <col min="1064" max="1065" width="6.42578125" customWidth="1"/>
    <col min="1066" max="1066" width="24.5703125" customWidth="1"/>
    <col min="1067" max="1067" width="34.7109375" customWidth="1"/>
    <col min="1068" max="1068" width="16.42578125" customWidth="1"/>
    <col min="1069" max="1069" width="16" bestFit="1" customWidth="1"/>
    <col min="1070" max="1070" width="29.140625" customWidth="1"/>
    <col min="1071" max="1071" width="15.7109375" customWidth="1"/>
    <col min="1072" max="1073" width="6.42578125" customWidth="1"/>
    <col min="1074" max="1074" width="24.5703125" customWidth="1"/>
    <col min="1075" max="1075" width="34.7109375" customWidth="1"/>
    <col min="1076" max="1076" width="16.42578125" customWidth="1"/>
    <col min="1077" max="1077" width="16" bestFit="1" customWidth="1"/>
    <col min="1078" max="1078" width="29.140625" customWidth="1"/>
    <col min="1079" max="1079" width="15.7109375" customWidth="1"/>
    <col min="1080" max="1081" width="6.42578125" customWidth="1"/>
    <col min="1082" max="1082" width="24.5703125" customWidth="1"/>
    <col min="1083" max="1083" width="34.7109375" customWidth="1"/>
    <col min="1084" max="1084" width="16.42578125" customWidth="1"/>
    <col min="1085" max="1085" width="16" bestFit="1" customWidth="1"/>
    <col min="1086" max="1086" width="29.140625" customWidth="1"/>
    <col min="1087" max="1087" width="15.7109375" customWidth="1"/>
    <col min="1088" max="1089" width="6.42578125" customWidth="1"/>
    <col min="1090" max="1090" width="24.5703125" customWidth="1"/>
    <col min="1091" max="1091" width="34.7109375" customWidth="1"/>
    <col min="1092" max="1092" width="16.42578125" customWidth="1"/>
    <col min="1093" max="1093" width="16" bestFit="1" customWidth="1"/>
    <col min="1094" max="1094" width="29.140625" customWidth="1"/>
    <col min="1095" max="1095" width="15.7109375" customWidth="1"/>
    <col min="1096" max="1097" width="6.42578125" customWidth="1"/>
    <col min="1098" max="1098" width="24.5703125" customWidth="1"/>
    <col min="1099" max="1099" width="34.7109375" customWidth="1"/>
    <col min="1100" max="1100" width="16.42578125" customWidth="1"/>
    <col min="1101" max="1101" width="16" bestFit="1" customWidth="1"/>
    <col min="1102" max="1102" width="29.140625" customWidth="1"/>
    <col min="1103" max="1103" width="15.7109375" customWidth="1"/>
    <col min="1104" max="1105" width="6.42578125" customWidth="1"/>
    <col min="1106" max="1106" width="24.5703125" customWidth="1"/>
    <col min="1107" max="1107" width="34.7109375" customWidth="1"/>
    <col min="1108" max="1108" width="16.42578125" customWidth="1"/>
    <col min="1109" max="1109" width="16" bestFit="1" customWidth="1"/>
    <col min="1110" max="1110" width="29.140625" customWidth="1"/>
    <col min="1111" max="1111" width="15.7109375" customWidth="1"/>
    <col min="1112" max="1113" width="6.42578125" customWidth="1"/>
    <col min="1114" max="1114" width="24.5703125" customWidth="1"/>
    <col min="1115" max="1115" width="34.7109375" customWidth="1"/>
    <col min="1116" max="1116" width="16.42578125" customWidth="1"/>
    <col min="1117" max="1117" width="16" bestFit="1" customWidth="1"/>
    <col min="1118" max="1118" width="29.140625" customWidth="1"/>
    <col min="1119" max="1119" width="15.7109375" customWidth="1"/>
    <col min="1120" max="1121" width="6.42578125" customWidth="1"/>
    <col min="1122" max="1122" width="24.5703125" customWidth="1"/>
    <col min="1123" max="1123" width="34.7109375" customWidth="1"/>
    <col min="1124" max="1124" width="16.42578125" customWidth="1"/>
    <col min="1125" max="1125" width="16" bestFit="1" customWidth="1"/>
    <col min="1126" max="1126" width="29.140625" customWidth="1"/>
    <col min="1127" max="1127" width="15.7109375" customWidth="1"/>
    <col min="1128" max="1129" width="6.42578125" customWidth="1"/>
    <col min="1130" max="1130" width="24.5703125" customWidth="1"/>
    <col min="1131" max="1131" width="34.7109375" customWidth="1"/>
    <col min="1132" max="1132" width="16.42578125" customWidth="1"/>
    <col min="1133" max="1133" width="16" bestFit="1" customWidth="1"/>
    <col min="1134" max="1134" width="29.140625" customWidth="1"/>
    <col min="1135" max="1135" width="15.7109375" customWidth="1"/>
    <col min="1136" max="1137" width="6.42578125" customWidth="1"/>
    <col min="1138" max="1138" width="24.5703125" customWidth="1"/>
    <col min="1139" max="1139" width="34.7109375" customWidth="1"/>
    <col min="1140" max="1140" width="16.42578125" customWidth="1"/>
    <col min="1141" max="1141" width="16" bestFit="1" customWidth="1"/>
    <col min="1142" max="1142" width="29.140625" customWidth="1"/>
    <col min="1143" max="1143" width="15.7109375" customWidth="1"/>
    <col min="1144" max="1145" width="6.42578125" customWidth="1"/>
    <col min="1146" max="1146" width="24.5703125" customWidth="1"/>
    <col min="1147" max="1147" width="34.7109375" customWidth="1"/>
    <col min="1148" max="1148" width="16.42578125" customWidth="1"/>
    <col min="1149" max="1149" width="16" bestFit="1" customWidth="1"/>
    <col min="1150" max="1150" width="29.140625" customWidth="1"/>
    <col min="1151" max="1151" width="15.7109375" customWidth="1"/>
    <col min="1152" max="1153" width="6.42578125" customWidth="1"/>
    <col min="1154" max="1154" width="24.5703125" customWidth="1"/>
    <col min="1155" max="1155" width="34.7109375" customWidth="1"/>
    <col min="1156" max="1156" width="16.42578125" customWidth="1"/>
    <col min="1157" max="1157" width="16" bestFit="1" customWidth="1"/>
    <col min="1158" max="1158" width="29.140625" customWidth="1"/>
    <col min="1159" max="1159" width="15.7109375" customWidth="1"/>
    <col min="1160" max="1161" width="6.42578125" customWidth="1"/>
    <col min="1162" max="1162" width="24.5703125" customWidth="1"/>
    <col min="1163" max="1163" width="34.7109375" customWidth="1"/>
    <col min="1164" max="1164" width="16.42578125" customWidth="1"/>
    <col min="1165" max="1165" width="16" bestFit="1" customWidth="1"/>
    <col min="1166" max="1166" width="29.140625" customWidth="1"/>
    <col min="1167" max="1167" width="15.7109375" customWidth="1"/>
    <col min="1168" max="1169" width="6.42578125" customWidth="1"/>
    <col min="1170" max="1170" width="24.5703125" customWidth="1"/>
    <col min="1171" max="1171" width="34.7109375" customWidth="1"/>
    <col min="1172" max="1172" width="16.42578125" customWidth="1"/>
    <col min="1173" max="1173" width="16" bestFit="1" customWidth="1"/>
    <col min="1174" max="1174" width="29.140625" customWidth="1"/>
    <col min="1175" max="1175" width="15.7109375" customWidth="1"/>
    <col min="1176" max="1177" width="6.42578125" customWidth="1"/>
    <col min="1178" max="1178" width="24.5703125" customWidth="1"/>
    <col min="1179" max="1179" width="34.7109375" customWidth="1"/>
    <col min="1180" max="1180" width="16.42578125" customWidth="1"/>
    <col min="1181" max="1181" width="16" bestFit="1" customWidth="1"/>
    <col min="1182" max="1182" width="29.140625" customWidth="1"/>
    <col min="1183" max="1183" width="15.7109375" customWidth="1"/>
    <col min="1184" max="1185" width="6.42578125" customWidth="1"/>
    <col min="1186" max="1186" width="24.5703125" customWidth="1"/>
    <col min="1187" max="1187" width="34.7109375" customWidth="1"/>
    <col min="1188" max="1188" width="16.42578125" customWidth="1"/>
    <col min="1189" max="1189" width="16" bestFit="1" customWidth="1"/>
    <col min="1190" max="1190" width="29.140625" customWidth="1"/>
    <col min="1191" max="1191" width="15.7109375" customWidth="1"/>
    <col min="1192" max="1193" width="6.42578125" customWidth="1"/>
    <col min="1194" max="1194" width="24.5703125" customWidth="1"/>
    <col min="1195" max="1195" width="34.7109375" customWidth="1"/>
    <col min="1196" max="1196" width="16.42578125" customWidth="1"/>
    <col min="1197" max="1197" width="16" bestFit="1" customWidth="1"/>
    <col min="1198" max="1198" width="29.140625" customWidth="1"/>
    <col min="1199" max="1199" width="15.7109375" customWidth="1"/>
    <col min="1200" max="1201" width="6.42578125" customWidth="1"/>
    <col min="1202" max="1202" width="24.5703125" customWidth="1"/>
    <col min="1203" max="1203" width="34.7109375" customWidth="1"/>
    <col min="1204" max="1204" width="16.42578125" customWidth="1"/>
    <col min="1205" max="1205" width="16" bestFit="1" customWidth="1"/>
    <col min="1206" max="1206" width="29.140625" customWidth="1"/>
    <col min="1207" max="1207" width="15.7109375" customWidth="1"/>
    <col min="1208" max="1209" width="6.42578125" customWidth="1"/>
    <col min="1210" max="1210" width="24.5703125" customWidth="1"/>
    <col min="1211" max="1211" width="34.7109375" customWidth="1"/>
    <col min="1212" max="1212" width="16.42578125" customWidth="1"/>
    <col min="1213" max="1213" width="16" bestFit="1" customWidth="1"/>
    <col min="1214" max="1214" width="29.140625" customWidth="1"/>
    <col min="1215" max="1215" width="15.7109375" customWidth="1"/>
    <col min="1216" max="1217" width="6.42578125" customWidth="1"/>
    <col min="1218" max="1218" width="24.5703125" customWidth="1"/>
    <col min="1219" max="1219" width="34.7109375" customWidth="1"/>
    <col min="1220" max="1220" width="16.42578125" customWidth="1"/>
    <col min="1221" max="1221" width="16" bestFit="1" customWidth="1"/>
    <col min="1222" max="1222" width="29.140625" customWidth="1"/>
    <col min="1223" max="1223" width="15.7109375" customWidth="1"/>
    <col min="1224" max="1225" width="6.42578125" customWidth="1"/>
    <col min="1226" max="1226" width="24.5703125" customWidth="1"/>
    <col min="1227" max="1227" width="34.7109375" customWidth="1"/>
    <col min="1228" max="1228" width="16.42578125" customWidth="1"/>
    <col min="1229" max="1229" width="16" bestFit="1" customWidth="1"/>
    <col min="1230" max="1230" width="29.140625" customWidth="1"/>
    <col min="1231" max="1231" width="15.7109375" customWidth="1"/>
    <col min="1232" max="1233" width="6.42578125" customWidth="1"/>
    <col min="1234" max="1234" width="24.5703125" customWidth="1"/>
    <col min="1235" max="1235" width="34.7109375" customWidth="1"/>
    <col min="1236" max="1236" width="16.42578125" customWidth="1"/>
    <col min="1237" max="1237" width="16" bestFit="1" customWidth="1"/>
    <col min="1238" max="1238" width="29.140625" customWidth="1"/>
    <col min="1239" max="1239" width="15.7109375" customWidth="1"/>
    <col min="1240" max="1241" width="6.42578125" customWidth="1"/>
    <col min="1242" max="1242" width="24.5703125" customWidth="1"/>
    <col min="1243" max="1243" width="34.7109375" customWidth="1"/>
    <col min="1244" max="1244" width="16.42578125" customWidth="1"/>
    <col min="1245" max="1245" width="16" bestFit="1" customWidth="1"/>
    <col min="1246" max="1246" width="29.140625" customWidth="1"/>
    <col min="1247" max="1247" width="15.7109375" customWidth="1"/>
    <col min="1248" max="1249" width="6.42578125" customWidth="1"/>
    <col min="1250" max="1250" width="24.5703125" customWidth="1"/>
    <col min="1251" max="1251" width="34.7109375" customWidth="1"/>
    <col min="1252" max="1252" width="16.42578125" customWidth="1"/>
    <col min="1253" max="1253" width="16" bestFit="1" customWidth="1"/>
    <col min="1254" max="1254" width="29.140625" customWidth="1"/>
    <col min="1255" max="1255" width="15.7109375" customWidth="1"/>
    <col min="1256" max="1257" width="6.42578125" customWidth="1"/>
    <col min="1258" max="1258" width="24.5703125" customWidth="1"/>
    <col min="1259" max="1259" width="34.7109375" customWidth="1"/>
    <col min="1260" max="1260" width="16.42578125" customWidth="1"/>
    <col min="1261" max="1261" width="16" bestFit="1" customWidth="1"/>
    <col min="1262" max="1262" width="29.140625" customWidth="1"/>
    <col min="1263" max="1263" width="15.7109375" customWidth="1"/>
    <col min="1264" max="1265" width="6.42578125" customWidth="1"/>
    <col min="1266" max="1266" width="24.5703125" customWidth="1"/>
    <col min="1267" max="1267" width="34.7109375" customWidth="1"/>
    <col min="1268" max="1268" width="16.42578125" customWidth="1"/>
    <col min="1269" max="1269" width="16" bestFit="1" customWidth="1"/>
    <col min="1270" max="1270" width="29.140625" customWidth="1"/>
    <col min="1271" max="1271" width="15.7109375" customWidth="1"/>
    <col min="1272" max="1273" width="6.42578125" customWidth="1"/>
    <col min="1274" max="1274" width="24.5703125" customWidth="1"/>
    <col min="1275" max="1275" width="34.7109375" customWidth="1"/>
    <col min="1276" max="1276" width="16.42578125" customWidth="1"/>
    <col min="1277" max="1277" width="16" bestFit="1" customWidth="1"/>
    <col min="1278" max="1278" width="29.140625" customWidth="1"/>
    <col min="1279" max="1279" width="15.7109375" customWidth="1"/>
    <col min="1280" max="1281" width="6.42578125" customWidth="1"/>
    <col min="1282" max="1282" width="24.5703125" customWidth="1"/>
    <col min="1283" max="1283" width="34.7109375" customWidth="1"/>
    <col min="1284" max="1284" width="16.42578125" customWidth="1"/>
    <col min="1285" max="1285" width="16" bestFit="1" customWidth="1"/>
    <col min="1286" max="1286" width="29.140625" customWidth="1"/>
    <col min="1287" max="1287" width="15.7109375" customWidth="1"/>
    <col min="1288" max="1289" width="6.42578125" customWidth="1"/>
    <col min="1290" max="1290" width="24.5703125" customWidth="1"/>
    <col min="1291" max="1291" width="34.7109375" customWidth="1"/>
    <col min="1292" max="1292" width="16.42578125" customWidth="1"/>
    <col min="1293" max="1293" width="16" bestFit="1" customWidth="1"/>
    <col min="1294" max="1294" width="29.140625" customWidth="1"/>
    <col min="1295" max="1295" width="15.7109375" customWidth="1"/>
    <col min="1296" max="1297" width="6.42578125" customWidth="1"/>
    <col min="1298" max="1298" width="24.5703125" customWidth="1"/>
    <col min="1299" max="1299" width="34.7109375" customWidth="1"/>
    <col min="1300" max="1300" width="16.42578125" customWidth="1"/>
    <col min="1301" max="1301" width="16" bestFit="1" customWidth="1"/>
    <col min="1302" max="1302" width="29.140625" customWidth="1"/>
    <col min="1303" max="1303" width="15.7109375" customWidth="1"/>
    <col min="1304" max="1305" width="6.42578125" customWidth="1"/>
    <col min="1306" max="1306" width="24.5703125" customWidth="1"/>
    <col min="1307" max="1307" width="34.7109375" customWidth="1"/>
    <col min="1308" max="1308" width="16.42578125" customWidth="1"/>
    <col min="1309" max="1309" width="16" bestFit="1" customWidth="1"/>
    <col min="1310" max="1310" width="29.140625" customWidth="1"/>
    <col min="1311" max="1311" width="15.7109375" customWidth="1"/>
    <col min="1312" max="1313" width="6.42578125" customWidth="1"/>
    <col min="1314" max="1314" width="24.5703125" customWidth="1"/>
    <col min="1315" max="1315" width="34.7109375" customWidth="1"/>
    <col min="1316" max="1316" width="16.42578125" customWidth="1"/>
    <col min="1317" max="1317" width="16" bestFit="1" customWidth="1"/>
    <col min="1318" max="1318" width="29.140625" customWidth="1"/>
    <col min="1319" max="1319" width="15.7109375" customWidth="1"/>
    <col min="1320" max="1321" width="6.42578125" customWidth="1"/>
    <col min="1322" max="1322" width="24.5703125" customWidth="1"/>
    <col min="1323" max="1323" width="34.7109375" customWidth="1"/>
    <col min="1324" max="1324" width="16.42578125" customWidth="1"/>
    <col min="1325" max="1325" width="16" bestFit="1" customWidth="1"/>
    <col min="1326" max="1326" width="29.140625" customWidth="1"/>
    <col min="1327" max="1327" width="15.7109375" customWidth="1"/>
    <col min="1328" max="1329" width="6.42578125" customWidth="1"/>
    <col min="1330" max="1330" width="24.5703125" customWidth="1"/>
    <col min="1331" max="1331" width="34.7109375" customWidth="1"/>
    <col min="1332" max="1332" width="16.42578125" customWidth="1"/>
    <col min="1333" max="1333" width="16" bestFit="1" customWidth="1"/>
    <col min="1334" max="1334" width="29.140625" customWidth="1"/>
    <col min="1335" max="1335" width="15.7109375" customWidth="1"/>
    <col min="1336" max="1337" width="6.42578125" customWidth="1"/>
    <col min="1338" max="1338" width="24.5703125" customWidth="1"/>
    <col min="1339" max="1339" width="34.7109375" customWidth="1"/>
    <col min="1340" max="1340" width="16.42578125" customWidth="1"/>
    <col min="1341" max="1341" width="16" bestFit="1" customWidth="1"/>
    <col min="1342" max="1342" width="29.140625" customWidth="1"/>
    <col min="1343" max="1343" width="15.7109375" customWidth="1"/>
    <col min="1344" max="1345" width="6.42578125" customWidth="1"/>
    <col min="1346" max="1346" width="24.5703125" customWidth="1"/>
    <col min="1347" max="1347" width="34.7109375" customWidth="1"/>
    <col min="1348" max="1348" width="16.42578125" customWidth="1"/>
    <col min="1349" max="1349" width="16" bestFit="1" customWidth="1"/>
    <col min="1350" max="1350" width="29.140625" customWidth="1"/>
    <col min="1351" max="1351" width="15.7109375" customWidth="1"/>
    <col min="1352" max="1353" width="6.42578125" customWidth="1"/>
    <col min="1354" max="1354" width="24.5703125" customWidth="1"/>
    <col min="1355" max="1355" width="34.7109375" customWidth="1"/>
    <col min="1356" max="1356" width="16.42578125" customWidth="1"/>
    <col min="1357" max="1357" width="16" bestFit="1" customWidth="1"/>
    <col min="1358" max="1358" width="29.140625" customWidth="1"/>
    <col min="1359" max="1359" width="15.7109375" customWidth="1"/>
    <col min="1360" max="1361" width="6.42578125" customWidth="1"/>
    <col min="1362" max="1362" width="24.5703125" customWidth="1"/>
    <col min="1363" max="1363" width="34.7109375" customWidth="1"/>
    <col min="1364" max="1364" width="16.42578125" customWidth="1"/>
    <col min="1365" max="1365" width="16" bestFit="1" customWidth="1"/>
    <col min="1366" max="1366" width="29.140625" customWidth="1"/>
    <col min="1367" max="1367" width="15.7109375" customWidth="1"/>
    <col min="1368" max="1369" width="6.42578125" customWidth="1"/>
    <col min="1370" max="1370" width="24.5703125" customWidth="1"/>
    <col min="1371" max="1371" width="34.7109375" customWidth="1"/>
    <col min="1372" max="1372" width="16.42578125" customWidth="1"/>
    <col min="1373" max="1373" width="16" bestFit="1" customWidth="1"/>
    <col min="1374" max="1374" width="29.140625" customWidth="1"/>
    <col min="1375" max="1375" width="15.7109375" customWidth="1"/>
    <col min="1376" max="1377" width="6.42578125" customWidth="1"/>
    <col min="1378" max="1378" width="24.5703125" customWidth="1"/>
    <col min="1379" max="1379" width="34.7109375" customWidth="1"/>
    <col min="1380" max="1380" width="16.42578125" customWidth="1"/>
    <col min="1381" max="1381" width="16" bestFit="1" customWidth="1"/>
    <col min="1382" max="1382" width="29.140625" customWidth="1"/>
    <col min="1383" max="1383" width="15.7109375" customWidth="1"/>
    <col min="1384" max="1385" width="6.42578125" customWidth="1"/>
    <col min="1386" max="1386" width="24.5703125" customWidth="1"/>
    <col min="1387" max="1387" width="34.7109375" customWidth="1"/>
    <col min="1388" max="1388" width="16.42578125" customWidth="1"/>
    <col min="1389" max="1389" width="16" bestFit="1" customWidth="1"/>
    <col min="1390" max="1390" width="29.140625" customWidth="1"/>
    <col min="1391" max="1391" width="15.7109375" customWidth="1"/>
    <col min="1392" max="1393" width="6.42578125" customWidth="1"/>
    <col min="1394" max="1394" width="24.5703125" customWidth="1"/>
    <col min="1395" max="1395" width="34.7109375" customWidth="1"/>
    <col min="1396" max="1396" width="16.42578125" customWidth="1"/>
    <col min="1397" max="1397" width="16" bestFit="1" customWidth="1"/>
    <col min="1398" max="1398" width="29.140625" customWidth="1"/>
    <col min="1399" max="1399" width="15.7109375" customWidth="1"/>
    <col min="1400" max="1401" width="6.42578125" customWidth="1"/>
    <col min="1402" max="1402" width="24.5703125" customWidth="1"/>
    <col min="1403" max="1403" width="34.7109375" customWidth="1"/>
    <col min="1404" max="1404" width="16.42578125" customWidth="1"/>
    <col min="1405" max="1405" width="16" bestFit="1" customWidth="1"/>
    <col min="1406" max="1406" width="29.140625" customWidth="1"/>
    <col min="1407" max="1407" width="15.7109375" customWidth="1"/>
    <col min="1408" max="1409" width="6.42578125" customWidth="1"/>
    <col min="1410" max="1410" width="24.5703125" customWidth="1"/>
    <col min="1411" max="1411" width="34.7109375" customWidth="1"/>
    <col min="1412" max="1412" width="16.42578125" customWidth="1"/>
    <col min="1413" max="1413" width="16" bestFit="1" customWidth="1"/>
    <col min="1414" max="1414" width="29.140625" customWidth="1"/>
    <col min="1415" max="1415" width="15.7109375" customWidth="1"/>
    <col min="1416" max="1417" width="6.42578125" customWidth="1"/>
    <col min="1418" max="1418" width="24.5703125" customWidth="1"/>
    <col min="1419" max="1419" width="34.7109375" customWidth="1"/>
    <col min="1420" max="1420" width="16.42578125" customWidth="1"/>
    <col min="1421" max="1421" width="16" bestFit="1" customWidth="1"/>
    <col min="1422" max="1422" width="29.140625" customWidth="1"/>
    <col min="1423" max="1423" width="15.7109375" customWidth="1"/>
    <col min="1424" max="1425" width="6.42578125" customWidth="1"/>
    <col min="1426" max="1426" width="24.5703125" customWidth="1"/>
    <col min="1427" max="1427" width="34.7109375" customWidth="1"/>
    <col min="1428" max="1428" width="16.42578125" customWidth="1"/>
    <col min="1429" max="1429" width="16" bestFit="1" customWidth="1"/>
    <col min="1430" max="1430" width="29.140625" customWidth="1"/>
    <col min="1431" max="1431" width="15.7109375" customWidth="1"/>
    <col min="1432" max="1433" width="6.42578125" customWidth="1"/>
    <col min="1434" max="1434" width="24.5703125" customWidth="1"/>
    <col min="1435" max="1435" width="34.7109375" customWidth="1"/>
    <col min="1436" max="1436" width="16.42578125" customWidth="1"/>
    <col min="1437" max="1437" width="16" bestFit="1" customWidth="1"/>
    <col min="1438" max="1438" width="29.140625" customWidth="1"/>
    <col min="1439" max="1439" width="15.7109375" customWidth="1"/>
    <col min="1440" max="1441" width="6.42578125" customWidth="1"/>
    <col min="1442" max="1442" width="24.5703125" customWidth="1"/>
    <col min="1443" max="1443" width="34.7109375" customWidth="1"/>
    <col min="1444" max="1444" width="16.42578125" customWidth="1"/>
    <col min="1445" max="1445" width="16" bestFit="1" customWidth="1"/>
    <col min="1446" max="1446" width="29.140625" customWidth="1"/>
    <col min="1447" max="1447" width="15.7109375" customWidth="1"/>
    <col min="1448" max="1449" width="6.42578125" customWidth="1"/>
    <col min="1450" max="1450" width="24.5703125" customWidth="1"/>
    <col min="1451" max="1451" width="34.7109375" customWidth="1"/>
    <col min="1452" max="1452" width="16.42578125" customWidth="1"/>
    <col min="1453" max="1453" width="16" bestFit="1" customWidth="1"/>
    <col min="1454" max="1454" width="29.140625" customWidth="1"/>
    <col min="1455" max="1455" width="15.7109375" customWidth="1"/>
    <col min="1456" max="1457" width="6.42578125" customWidth="1"/>
    <col min="1458" max="1458" width="24.5703125" customWidth="1"/>
    <col min="1459" max="1459" width="34.7109375" customWidth="1"/>
    <col min="1460" max="1460" width="16.42578125" customWidth="1"/>
    <col min="1461" max="1461" width="16" bestFit="1" customWidth="1"/>
    <col min="1462" max="1462" width="29.140625" customWidth="1"/>
    <col min="1463" max="1463" width="15.7109375" customWidth="1"/>
    <col min="1464" max="1465" width="6.42578125" customWidth="1"/>
    <col min="1466" max="1466" width="24.5703125" customWidth="1"/>
    <col min="1467" max="1467" width="34.7109375" customWidth="1"/>
    <col min="1468" max="1468" width="16.42578125" customWidth="1"/>
    <col min="1469" max="1469" width="16" bestFit="1" customWidth="1"/>
    <col min="1470" max="1470" width="29.140625" customWidth="1"/>
    <col min="1471" max="1471" width="15.7109375" customWidth="1"/>
    <col min="1472" max="1473" width="6.42578125" customWidth="1"/>
    <col min="1474" max="1474" width="24.5703125" customWidth="1"/>
    <col min="1475" max="1475" width="34.7109375" customWidth="1"/>
    <col min="1476" max="1476" width="16.42578125" customWidth="1"/>
    <col min="1477" max="1477" width="16" bestFit="1" customWidth="1"/>
    <col min="1478" max="1478" width="29.140625" customWidth="1"/>
    <col min="1479" max="1479" width="15.7109375" customWidth="1"/>
    <col min="1480" max="1481" width="6.42578125" customWidth="1"/>
    <col min="1482" max="1482" width="24.5703125" customWidth="1"/>
    <col min="1483" max="1483" width="34.7109375" customWidth="1"/>
    <col min="1484" max="1484" width="16.42578125" customWidth="1"/>
    <col min="1485" max="1485" width="16" bestFit="1" customWidth="1"/>
    <col min="1486" max="1486" width="29.140625" customWidth="1"/>
    <col min="1487" max="1487" width="15.7109375" customWidth="1"/>
    <col min="1488" max="1489" width="6.42578125" customWidth="1"/>
    <col min="1490" max="1490" width="24.5703125" customWidth="1"/>
    <col min="1491" max="1491" width="34.7109375" customWidth="1"/>
    <col min="1492" max="1492" width="16.42578125" customWidth="1"/>
    <col min="1493" max="1493" width="16" bestFit="1" customWidth="1"/>
    <col min="1494" max="1494" width="29.140625" customWidth="1"/>
    <col min="1495" max="1495" width="15.7109375" customWidth="1"/>
    <col min="1496" max="1497" width="6.42578125" customWidth="1"/>
    <col min="1498" max="1498" width="24.5703125" customWidth="1"/>
    <col min="1499" max="1499" width="34.7109375" customWidth="1"/>
    <col min="1500" max="1500" width="16.42578125" customWidth="1"/>
    <col min="1501" max="1501" width="16" bestFit="1" customWidth="1"/>
    <col min="1502" max="1502" width="29.140625" customWidth="1"/>
    <col min="1503" max="1503" width="15.7109375" customWidth="1"/>
    <col min="1504" max="1505" width="6.42578125" customWidth="1"/>
    <col min="1506" max="1506" width="24.5703125" customWidth="1"/>
    <col min="1507" max="1507" width="34.7109375" customWidth="1"/>
    <col min="1508" max="1508" width="16.42578125" customWidth="1"/>
    <col min="1509" max="1509" width="16" bestFit="1" customWidth="1"/>
    <col min="1510" max="1510" width="29.140625" customWidth="1"/>
    <col min="1511" max="1511" width="15.7109375" customWidth="1"/>
    <col min="1512" max="1513" width="6.42578125" customWidth="1"/>
    <col min="1514" max="1514" width="24.5703125" customWidth="1"/>
    <col min="1515" max="1515" width="34.7109375" customWidth="1"/>
    <col min="1516" max="1516" width="16.42578125" customWidth="1"/>
    <col min="1517" max="1517" width="16" bestFit="1" customWidth="1"/>
    <col min="1518" max="1518" width="29.140625" customWidth="1"/>
    <col min="1519" max="1519" width="15.7109375" customWidth="1"/>
    <col min="1520" max="1521" width="6.42578125" customWidth="1"/>
    <col min="1522" max="1522" width="24.5703125" customWidth="1"/>
    <col min="1523" max="1523" width="34.7109375" customWidth="1"/>
    <col min="1524" max="1524" width="16.42578125" customWidth="1"/>
    <col min="1525" max="1525" width="16" bestFit="1" customWidth="1"/>
    <col min="1526" max="1526" width="29.140625" customWidth="1"/>
    <col min="1527" max="1527" width="15.7109375" customWidth="1"/>
    <col min="1528" max="1529" width="6.42578125" customWidth="1"/>
    <col min="1530" max="1530" width="24.5703125" customWidth="1"/>
    <col min="1531" max="1531" width="34.7109375" customWidth="1"/>
    <col min="1532" max="1532" width="16.42578125" customWidth="1"/>
    <col min="1533" max="1533" width="16" bestFit="1" customWidth="1"/>
    <col min="1534" max="1534" width="29.140625" customWidth="1"/>
    <col min="1535" max="1535" width="15.7109375" customWidth="1"/>
    <col min="1536" max="1537" width="6.42578125" customWidth="1"/>
    <col min="1538" max="1538" width="24.5703125" customWidth="1"/>
    <col min="1539" max="1539" width="34.7109375" customWidth="1"/>
    <col min="1540" max="1540" width="16.42578125" customWidth="1"/>
    <col min="1541" max="1541" width="16" bestFit="1" customWidth="1"/>
    <col min="1542" max="1542" width="29.140625" customWidth="1"/>
    <col min="1543" max="1543" width="15.7109375" customWidth="1"/>
    <col min="1544" max="1545" width="6.42578125" customWidth="1"/>
    <col min="1546" max="1546" width="24.5703125" customWidth="1"/>
    <col min="1547" max="1547" width="34.7109375" customWidth="1"/>
    <col min="1548" max="1548" width="16.42578125" customWidth="1"/>
    <col min="1549" max="1549" width="16" bestFit="1" customWidth="1"/>
    <col min="1550" max="1550" width="29.140625" customWidth="1"/>
    <col min="1551" max="1551" width="15.7109375" customWidth="1"/>
    <col min="1552" max="1553" width="6.42578125" customWidth="1"/>
    <col min="1554" max="1554" width="24.5703125" customWidth="1"/>
    <col min="1555" max="1555" width="34.7109375" customWidth="1"/>
    <col min="1556" max="1556" width="16.42578125" customWidth="1"/>
    <col min="1557" max="1557" width="16" bestFit="1" customWidth="1"/>
    <col min="1558" max="1558" width="29.140625" customWidth="1"/>
    <col min="1559" max="1559" width="15.7109375" customWidth="1"/>
    <col min="1560" max="1561" width="6.42578125" customWidth="1"/>
    <col min="1562" max="1562" width="24.5703125" customWidth="1"/>
    <col min="1563" max="1563" width="34.7109375" customWidth="1"/>
    <col min="1564" max="1564" width="16.42578125" customWidth="1"/>
    <col min="1565" max="1565" width="16" bestFit="1" customWidth="1"/>
    <col min="1566" max="1566" width="29.140625" customWidth="1"/>
    <col min="1567" max="1567" width="15.7109375" customWidth="1"/>
    <col min="1568" max="1569" width="6.42578125" customWidth="1"/>
    <col min="1570" max="1570" width="24.5703125" customWidth="1"/>
    <col min="1571" max="1571" width="34.7109375" customWidth="1"/>
    <col min="1572" max="1572" width="16.42578125" customWidth="1"/>
    <col min="1573" max="1573" width="16" bestFit="1" customWidth="1"/>
    <col min="1574" max="1574" width="29.140625" customWidth="1"/>
    <col min="1575" max="1575" width="15.7109375" customWidth="1"/>
    <col min="1576" max="1577" width="6.42578125" customWidth="1"/>
    <col min="1578" max="1578" width="24.5703125" customWidth="1"/>
    <col min="1579" max="1579" width="34.7109375" customWidth="1"/>
    <col min="1580" max="1580" width="16.42578125" customWidth="1"/>
    <col min="1581" max="1581" width="16" bestFit="1" customWidth="1"/>
    <col min="1582" max="1582" width="29.140625" customWidth="1"/>
    <col min="1583" max="1583" width="15.7109375" customWidth="1"/>
    <col min="1584" max="1585" width="6.42578125" customWidth="1"/>
    <col min="1586" max="1586" width="24.5703125" customWidth="1"/>
    <col min="1587" max="1587" width="34.7109375" customWidth="1"/>
    <col min="1588" max="1588" width="16.42578125" customWidth="1"/>
    <col min="1589" max="1589" width="16" bestFit="1" customWidth="1"/>
    <col min="1590" max="1590" width="29.140625" customWidth="1"/>
    <col min="1591" max="1591" width="15.7109375" customWidth="1"/>
    <col min="1592" max="1593" width="6.42578125" customWidth="1"/>
    <col min="1594" max="1594" width="24.5703125" customWidth="1"/>
    <col min="1595" max="1595" width="34.7109375" customWidth="1"/>
    <col min="1596" max="1596" width="16.42578125" customWidth="1"/>
    <col min="1597" max="1597" width="16" bestFit="1" customWidth="1"/>
    <col min="1598" max="1598" width="29.140625" customWidth="1"/>
    <col min="1599" max="1599" width="15.7109375" customWidth="1"/>
    <col min="1600" max="1601" width="6.42578125" customWidth="1"/>
    <col min="1602" max="1602" width="24.5703125" customWidth="1"/>
    <col min="1603" max="1603" width="34.7109375" customWidth="1"/>
    <col min="1604" max="1604" width="16.42578125" customWidth="1"/>
    <col min="1605" max="1605" width="16" bestFit="1" customWidth="1"/>
    <col min="1606" max="1606" width="29.140625" customWidth="1"/>
    <col min="1607" max="1607" width="15.7109375" customWidth="1"/>
    <col min="1608" max="1609" width="6.42578125" customWidth="1"/>
    <col min="1610" max="1610" width="24.5703125" customWidth="1"/>
    <col min="1611" max="1611" width="34.7109375" customWidth="1"/>
    <col min="1612" max="1612" width="16.42578125" customWidth="1"/>
    <col min="1613" max="1613" width="16" bestFit="1" customWidth="1"/>
    <col min="1614" max="1614" width="29.140625" customWidth="1"/>
    <col min="1615" max="1615" width="15.7109375" customWidth="1"/>
    <col min="1616" max="1617" width="6.42578125" customWidth="1"/>
    <col min="1618" max="1618" width="24.5703125" customWidth="1"/>
    <col min="1619" max="1619" width="34.7109375" customWidth="1"/>
    <col min="1620" max="1620" width="16.42578125" customWidth="1"/>
    <col min="1621" max="1621" width="16" bestFit="1" customWidth="1"/>
    <col min="1622" max="1622" width="29.140625" customWidth="1"/>
    <col min="1623" max="1623" width="15.7109375" customWidth="1"/>
    <col min="1624" max="1625" width="6.42578125" customWidth="1"/>
    <col min="1626" max="1626" width="24.5703125" customWidth="1"/>
    <col min="1627" max="1627" width="34.7109375" customWidth="1"/>
    <col min="1628" max="1628" width="16.42578125" customWidth="1"/>
    <col min="1629" max="1629" width="16" bestFit="1" customWidth="1"/>
    <col min="1630" max="1630" width="29.140625" customWidth="1"/>
    <col min="1631" max="1631" width="15.7109375" customWidth="1"/>
    <col min="1632" max="1633" width="6.42578125" customWidth="1"/>
    <col min="1634" max="1634" width="24.5703125" customWidth="1"/>
    <col min="1635" max="1635" width="34.7109375" customWidth="1"/>
    <col min="1636" max="1636" width="16.42578125" customWidth="1"/>
    <col min="1637" max="1637" width="16" bestFit="1" customWidth="1"/>
    <col min="1638" max="1638" width="29.140625" customWidth="1"/>
    <col min="1639" max="1639" width="15.7109375" customWidth="1"/>
    <col min="1640" max="1641" width="6.42578125" customWidth="1"/>
    <col min="1642" max="1642" width="24.5703125" customWidth="1"/>
    <col min="1643" max="1643" width="34.7109375" customWidth="1"/>
    <col min="1644" max="1644" width="16.42578125" customWidth="1"/>
    <col min="1645" max="1645" width="16" bestFit="1" customWidth="1"/>
    <col min="1646" max="1646" width="29.140625" customWidth="1"/>
    <col min="1647" max="1647" width="15.7109375" customWidth="1"/>
    <col min="1648" max="1649" width="6.42578125" customWidth="1"/>
    <col min="1650" max="1650" width="24.5703125" customWidth="1"/>
    <col min="1651" max="1651" width="34.7109375" customWidth="1"/>
    <col min="1652" max="1652" width="16.42578125" customWidth="1"/>
    <col min="1653" max="1653" width="16" bestFit="1" customWidth="1"/>
    <col min="1654" max="1654" width="29.140625" customWidth="1"/>
    <col min="1655" max="1655" width="15.7109375" customWidth="1"/>
    <col min="1656" max="1657" width="6.42578125" customWidth="1"/>
    <col min="1658" max="1658" width="24.5703125" customWidth="1"/>
    <col min="1659" max="1659" width="34.7109375" customWidth="1"/>
    <col min="1660" max="1660" width="16.42578125" customWidth="1"/>
    <col min="1661" max="1661" width="16" bestFit="1" customWidth="1"/>
    <col min="1662" max="1662" width="29.140625" customWidth="1"/>
    <col min="1663" max="1663" width="15.7109375" customWidth="1"/>
    <col min="1664" max="1665" width="6.42578125" customWidth="1"/>
    <col min="1666" max="1666" width="24.5703125" customWidth="1"/>
    <col min="1667" max="1667" width="34.7109375" customWidth="1"/>
    <col min="1668" max="1668" width="16.42578125" customWidth="1"/>
    <col min="1669" max="1669" width="16" bestFit="1" customWidth="1"/>
    <col min="1670" max="1670" width="29.140625" customWidth="1"/>
    <col min="1671" max="1671" width="15.7109375" customWidth="1"/>
    <col min="1672" max="1673" width="6.42578125" customWidth="1"/>
    <col min="1674" max="1674" width="24.5703125" customWidth="1"/>
    <col min="1675" max="1675" width="34.7109375" customWidth="1"/>
    <col min="1676" max="1676" width="16.42578125" customWidth="1"/>
    <col min="1677" max="1677" width="16" bestFit="1" customWidth="1"/>
    <col min="1678" max="1678" width="29.140625" customWidth="1"/>
    <col min="1679" max="1679" width="15.7109375" customWidth="1"/>
    <col min="1680" max="1681" width="6.42578125" customWidth="1"/>
    <col min="1682" max="1682" width="24.5703125" customWidth="1"/>
    <col min="1683" max="1683" width="34.7109375" customWidth="1"/>
    <col min="1684" max="1684" width="16.42578125" customWidth="1"/>
    <col min="1685" max="1685" width="16" bestFit="1" customWidth="1"/>
    <col min="1686" max="1686" width="29.140625" customWidth="1"/>
    <col min="1687" max="1687" width="15.7109375" customWidth="1"/>
    <col min="1688" max="1689" width="6.42578125" customWidth="1"/>
    <col min="1690" max="1690" width="24.5703125" customWidth="1"/>
    <col min="1691" max="1691" width="34.7109375" customWidth="1"/>
    <col min="1692" max="1692" width="16.42578125" customWidth="1"/>
    <col min="1693" max="1693" width="16" bestFit="1" customWidth="1"/>
    <col min="1694" max="1694" width="29.140625" customWidth="1"/>
    <col min="1695" max="1695" width="15.7109375" customWidth="1"/>
    <col min="1696" max="1697" width="6.42578125" customWidth="1"/>
    <col min="1698" max="1698" width="24.5703125" customWidth="1"/>
    <col min="1699" max="1699" width="34.7109375" customWidth="1"/>
    <col min="1700" max="1700" width="16.42578125" customWidth="1"/>
    <col min="1701" max="1701" width="16" bestFit="1" customWidth="1"/>
    <col min="1702" max="1702" width="29.140625" customWidth="1"/>
    <col min="1703" max="1703" width="15.7109375" customWidth="1"/>
    <col min="1704" max="1705" width="6.42578125" customWidth="1"/>
    <col min="1706" max="1706" width="24.5703125" customWidth="1"/>
    <col min="1707" max="1707" width="34.7109375" customWidth="1"/>
    <col min="1708" max="1708" width="16.42578125" customWidth="1"/>
    <col min="1709" max="1709" width="16" bestFit="1" customWidth="1"/>
    <col min="1710" max="1710" width="29.140625" customWidth="1"/>
    <col min="1711" max="1711" width="15.7109375" customWidth="1"/>
    <col min="1712" max="1713" width="6.42578125" customWidth="1"/>
    <col min="1714" max="1714" width="24.5703125" customWidth="1"/>
    <col min="1715" max="1715" width="34.7109375" customWidth="1"/>
    <col min="1716" max="1716" width="16.42578125" customWidth="1"/>
    <col min="1717" max="1717" width="16" bestFit="1" customWidth="1"/>
    <col min="1718" max="1718" width="29.140625" customWidth="1"/>
    <col min="1719" max="1719" width="15.7109375" customWidth="1"/>
    <col min="1720" max="1721" width="6.42578125" customWidth="1"/>
    <col min="1722" max="1722" width="24.5703125" customWidth="1"/>
    <col min="1723" max="1723" width="34.7109375" customWidth="1"/>
    <col min="1724" max="1724" width="16.42578125" customWidth="1"/>
    <col min="1725" max="1725" width="16" bestFit="1" customWidth="1"/>
    <col min="1726" max="1726" width="29.140625" customWidth="1"/>
    <col min="1727" max="1727" width="15.7109375" customWidth="1"/>
    <col min="1728" max="1729" width="6.42578125" customWidth="1"/>
    <col min="1730" max="1730" width="24.5703125" customWidth="1"/>
    <col min="1731" max="1731" width="34.7109375" customWidth="1"/>
    <col min="1732" max="1732" width="16.42578125" customWidth="1"/>
    <col min="1733" max="1733" width="16" bestFit="1" customWidth="1"/>
    <col min="1734" max="1734" width="29.140625" customWidth="1"/>
    <col min="1735" max="1735" width="15.7109375" customWidth="1"/>
    <col min="1736" max="1737" width="6.42578125" customWidth="1"/>
    <col min="1738" max="1738" width="24.5703125" customWidth="1"/>
    <col min="1739" max="1739" width="34.7109375" customWidth="1"/>
    <col min="1740" max="1740" width="16.42578125" customWidth="1"/>
    <col min="1741" max="1741" width="16" bestFit="1" customWidth="1"/>
    <col min="1742" max="1742" width="29.140625" customWidth="1"/>
    <col min="1743" max="1743" width="15.7109375" customWidth="1"/>
    <col min="1744" max="1745" width="6.42578125" customWidth="1"/>
    <col min="1746" max="1746" width="24.5703125" customWidth="1"/>
    <col min="1747" max="1747" width="34.7109375" customWidth="1"/>
    <col min="1748" max="1748" width="16.42578125" customWidth="1"/>
    <col min="1749" max="1749" width="16" bestFit="1" customWidth="1"/>
    <col min="1750" max="1750" width="29.140625" customWidth="1"/>
    <col min="1751" max="1751" width="15.7109375" customWidth="1"/>
    <col min="1752" max="1753" width="6.42578125" customWidth="1"/>
    <col min="1754" max="1754" width="24.5703125" customWidth="1"/>
    <col min="1755" max="1755" width="34.7109375" customWidth="1"/>
    <col min="1756" max="1756" width="16.42578125" customWidth="1"/>
    <col min="1757" max="1757" width="16" bestFit="1" customWidth="1"/>
    <col min="1758" max="1758" width="29.140625" customWidth="1"/>
    <col min="1759" max="1759" width="15.7109375" customWidth="1"/>
    <col min="1760" max="1761" width="6.42578125" customWidth="1"/>
    <col min="1762" max="1762" width="24.5703125" customWidth="1"/>
    <col min="1763" max="1763" width="34.7109375" customWidth="1"/>
    <col min="1764" max="1764" width="16.42578125" customWidth="1"/>
    <col min="1765" max="1765" width="16" bestFit="1" customWidth="1"/>
    <col min="1766" max="1766" width="29.140625" customWidth="1"/>
    <col min="1767" max="1767" width="15.7109375" customWidth="1"/>
    <col min="1768" max="1769" width="6.42578125" customWidth="1"/>
    <col min="1770" max="1770" width="24.5703125" customWidth="1"/>
    <col min="1771" max="1771" width="34.7109375" customWidth="1"/>
    <col min="1772" max="1772" width="16.42578125" customWidth="1"/>
    <col min="1773" max="1773" width="16" bestFit="1" customWidth="1"/>
    <col min="1774" max="1774" width="29.140625" customWidth="1"/>
    <col min="1775" max="1775" width="15.7109375" customWidth="1"/>
    <col min="1776" max="1777" width="6.42578125" customWidth="1"/>
    <col min="1778" max="1778" width="24.5703125" customWidth="1"/>
    <col min="1779" max="1779" width="34.7109375" customWidth="1"/>
    <col min="1780" max="1780" width="16.42578125" customWidth="1"/>
    <col min="1781" max="1781" width="16" bestFit="1" customWidth="1"/>
    <col min="1782" max="1782" width="29.140625" customWidth="1"/>
    <col min="1783" max="1783" width="15.7109375" customWidth="1"/>
    <col min="1784" max="1785" width="6.42578125" customWidth="1"/>
    <col min="1786" max="1786" width="24.5703125" customWidth="1"/>
    <col min="1787" max="1787" width="34.7109375" customWidth="1"/>
    <col min="1788" max="1788" width="16.42578125" customWidth="1"/>
    <col min="1789" max="1789" width="16" bestFit="1" customWidth="1"/>
    <col min="1790" max="1790" width="29.140625" customWidth="1"/>
    <col min="1791" max="1791" width="15.7109375" customWidth="1"/>
    <col min="1792" max="1793" width="6.42578125" customWidth="1"/>
    <col min="1794" max="1794" width="24.5703125" customWidth="1"/>
    <col min="1795" max="1795" width="34.7109375" customWidth="1"/>
    <col min="1796" max="1796" width="16.42578125" customWidth="1"/>
    <col min="1797" max="1797" width="16" bestFit="1" customWidth="1"/>
    <col min="1798" max="1798" width="29.140625" customWidth="1"/>
    <col min="1799" max="1799" width="15.7109375" customWidth="1"/>
    <col min="1800" max="1801" width="6.42578125" customWidth="1"/>
    <col min="1802" max="1802" width="24.5703125" customWidth="1"/>
    <col min="1803" max="1803" width="34.7109375" customWidth="1"/>
    <col min="1804" max="1804" width="16.42578125" customWidth="1"/>
    <col min="1805" max="1805" width="16" bestFit="1" customWidth="1"/>
    <col min="1806" max="1806" width="29.140625" customWidth="1"/>
    <col min="1807" max="1807" width="15.7109375" customWidth="1"/>
    <col min="1808" max="1809" width="6.42578125" customWidth="1"/>
    <col min="1810" max="1810" width="24.5703125" customWidth="1"/>
    <col min="1811" max="1811" width="34.7109375" customWidth="1"/>
    <col min="1812" max="1812" width="16.42578125" customWidth="1"/>
    <col min="1813" max="1813" width="16" bestFit="1" customWidth="1"/>
    <col min="1814" max="1814" width="29.140625" customWidth="1"/>
    <col min="1815" max="1815" width="15.7109375" customWidth="1"/>
    <col min="1816" max="1817" width="6.42578125" customWidth="1"/>
    <col min="1818" max="1818" width="24.5703125" customWidth="1"/>
    <col min="1819" max="1819" width="34.7109375" customWidth="1"/>
    <col min="1820" max="1820" width="16.42578125" customWidth="1"/>
    <col min="1821" max="1821" width="16" bestFit="1" customWidth="1"/>
    <col min="1822" max="1822" width="29.140625" customWidth="1"/>
    <col min="1823" max="1823" width="15.7109375" customWidth="1"/>
    <col min="1824" max="1825" width="6.42578125" customWidth="1"/>
    <col min="1826" max="1826" width="24.5703125" customWidth="1"/>
    <col min="1827" max="1827" width="34.7109375" customWidth="1"/>
    <col min="1828" max="1828" width="16.42578125" customWidth="1"/>
    <col min="1829" max="1829" width="16" bestFit="1" customWidth="1"/>
    <col min="1830" max="1830" width="29.140625" customWidth="1"/>
    <col min="1831" max="1831" width="15.7109375" customWidth="1"/>
    <col min="1832" max="1833" width="6.42578125" customWidth="1"/>
    <col min="1834" max="1834" width="24.5703125" customWidth="1"/>
    <col min="1835" max="1835" width="34.7109375" customWidth="1"/>
    <col min="1836" max="1836" width="16.42578125" customWidth="1"/>
    <col min="1837" max="1837" width="16" bestFit="1" customWidth="1"/>
    <col min="1838" max="1838" width="29.140625" customWidth="1"/>
    <col min="1839" max="1839" width="15.7109375" customWidth="1"/>
    <col min="1840" max="1841" width="6.42578125" customWidth="1"/>
    <col min="1842" max="1842" width="24.5703125" customWidth="1"/>
    <col min="1843" max="1843" width="34.7109375" customWidth="1"/>
    <col min="1844" max="1844" width="16.42578125" customWidth="1"/>
    <col min="1845" max="1845" width="16" bestFit="1" customWidth="1"/>
    <col min="1846" max="1846" width="29.140625" customWidth="1"/>
    <col min="1847" max="1847" width="15.7109375" customWidth="1"/>
    <col min="1848" max="1849" width="6.42578125" customWidth="1"/>
    <col min="1850" max="1850" width="24.5703125" customWidth="1"/>
    <col min="1851" max="1851" width="34.7109375" customWidth="1"/>
    <col min="1852" max="1852" width="16.42578125" customWidth="1"/>
    <col min="1853" max="1853" width="16" bestFit="1" customWidth="1"/>
    <col min="1854" max="1854" width="29.140625" customWidth="1"/>
    <col min="1855" max="1855" width="15.7109375" customWidth="1"/>
    <col min="1856" max="1857" width="6.42578125" customWidth="1"/>
    <col min="1858" max="1858" width="24.5703125" customWidth="1"/>
    <col min="1859" max="1859" width="34.7109375" customWidth="1"/>
    <col min="1860" max="1860" width="16.42578125" customWidth="1"/>
    <col min="1861" max="1861" width="16" bestFit="1" customWidth="1"/>
    <col min="1862" max="1862" width="29.140625" customWidth="1"/>
    <col min="1863" max="1863" width="15.7109375" customWidth="1"/>
    <col min="1864" max="1865" width="6.42578125" customWidth="1"/>
    <col min="1866" max="1866" width="24.5703125" customWidth="1"/>
    <col min="1867" max="1867" width="34.7109375" customWidth="1"/>
    <col min="1868" max="1868" width="16.42578125" customWidth="1"/>
    <col min="1869" max="1869" width="16" bestFit="1" customWidth="1"/>
    <col min="1870" max="1870" width="29.140625" customWidth="1"/>
    <col min="1871" max="1871" width="15.7109375" customWidth="1"/>
    <col min="1872" max="1873" width="6.42578125" customWidth="1"/>
    <col min="1874" max="1874" width="24.5703125" customWidth="1"/>
    <col min="1875" max="1875" width="34.7109375" customWidth="1"/>
    <col min="1876" max="1876" width="16.42578125" customWidth="1"/>
    <col min="1877" max="1877" width="16" bestFit="1" customWidth="1"/>
    <col min="1878" max="1878" width="29.140625" customWidth="1"/>
    <col min="1879" max="1879" width="15.7109375" customWidth="1"/>
    <col min="1880" max="1881" width="6.42578125" customWidth="1"/>
    <col min="1882" max="1882" width="24.5703125" customWidth="1"/>
    <col min="1883" max="1883" width="34.7109375" customWidth="1"/>
    <col min="1884" max="1884" width="16.42578125" customWidth="1"/>
    <col min="1885" max="1885" width="16" bestFit="1" customWidth="1"/>
    <col min="1886" max="1886" width="29.140625" customWidth="1"/>
    <col min="1887" max="1887" width="15.7109375" customWidth="1"/>
    <col min="1888" max="1889" width="6.42578125" customWidth="1"/>
    <col min="1890" max="1890" width="24.5703125" customWidth="1"/>
    <col min="1891" max="1891" width="34.7109375" customWidth="1"/>
    <col min="1892" max="1892" width="16.42578125" customWidth="1"/>
    <col min="1893" max="1893" width="16" bestFit="1" customWidth="1"/>
    <col min="1894" max="1894" width="29.140625" customWidth="1"/>
    <col min="1895" max="1895" width="15.7109375" customWidth="1"/>
    <col min="1896" max="1897" width="6.42578125" customWidth="1"/>
    <col min="1898" max="1898" width="24.5703125" customWidth="1"/>
    <col min="1899" max="1899" width="34.7109375" customWidth="1"/>
    <col min="1900" max="1900" width="16.42578125" customWidth="1"/>
    <col min="1901" max="1901" width="16" bestFit="1" customWidth="1"/>
    <col min="1902" max="1902" width="29.140625" customWidth="1"/>
    <col min="1903" max="1903" width="15.7109375" customWidth="1"/>
    <col min="1904" max="1905" width="6.42578125" customWidth="1"/>
    <col min="1906" max="1906" width="24.5703125" customWidth="1"/>
    <col min="1907" max="1907" width="34.7109375" customWidth="1"/>
    <col min="1908" max="1908" width="16.42578125" customWidth="1"/>
    <col min="1909" max="1909" width="16" bestFit="1" customWidth="1"/>
    <col min="1910" max="1910" width="29.140625" customWidth="1"/>
    <col min="1911" max="1911" width="15.7109375" customWidth="1"/>
    <col min="1912" max="1913" width="6.42578125" customWidth="1"/>
    <col min="1914" max="1914" width="24.5703125" customWidth="1"/>
    <col min="1915" max="1915" width="34.7109375" customWidth="1"/>
    <col min="1916" max="1916" width="16.42578125" customWidth="1"/>
    <col min="1917" max="1917" width="16" bestFit="1" customWidth="1"/>
    <col min="1918" max="1918" width="29.140625" customWidth="1"/>
    <col min="1919" max="1919" width="15.7109375" customWidth="1"/>
    <col min="1920" max="1921" width="6.42578125" customWidth="1"/>
    <col min="1922" max="1922" width="24.5703125" customWidth="1"/>
    <col min="1923" max="1923" width="34.7109375" customWidth="1"/>
    <col min="1924" max="1924" width="16.42578125" customWidth="1"/>
    <col min="1925" max="1925" width="16" bestFit="1" customWidth="1"/>
    <col min="1926" max="1926" width="29.140625" customWidth="1"/>
    <col min="1927" max="1927" width="15.7109375" customWidth="1"/>
    <col min="1928" max="1929" width="6.42578125" customWidth="1"/>
    <col min="1930" max="1930" width="24.5703125" customWidth="1"/>
    <col min="1931" max="1931" width="34.7109375" customWidth="1"/>
    <col min="1932" max="1932" width="16.42578125" customWidth="1"/>
    <col min="1933" max="1933" width="16" bestFit="1" customWidth="1"/>
    <col min="1934" max="1934" width="29.140625" customWidth="1"/>
    <col min="1935" max="1935" width="15.7109375" customWidth="1"/>
    <col min="1936" max="1937" width="6.42578125" customWidth="1"/>
    <col min="1938" max="1938" width="24.5703125" customWidth="1"/>
    <col min="1939" max="1939" width="34.7109375" customWidth="1"/>
    <col min="1940" max="1940" width="16.42578125" customWidth="1"/>
    <col min="1941" max="1941" width="16" bestFit="1" customWidth="1"/>
    <col min="1942" max="1942" width="29.140625" customWidth="1"/>
    <col min="1943" max="1943" width="15.7109375" customWidth="1"/>
    <col min="1944" max="1945" width="6.42578125" customWidth="1"/>
    <col min="1946" max="1946" width="24.5703125" customWidth="1"/>
    <col min="1947" max="1947" width="34.7109375" customWidth="1"/>
    <col min="1948" max="1948" width="16.42578125" customWidth="1"/>
    <col min="1949" max="1949" width="16" bestFit="1" customWidth="1"/>
    <col min="1950" max="1950" width="29.140625" customWidth="1"/>
    <col min="1951" max="1951" width="15.7109375" customWidth="1"/>
    <col min="1952" max="1953" width="6.42578125" customWidth="1"/>
    <col min="1954" max="1954" width="24.5703125" customWidth="1"/>
    <col min="1955" max="1955" width="34.7109375" customWidth="1"/>
    <col min="1956" max="1956" width="16.42578125" customWidth="1"/>
    <col min="1957" max="1957" width="16" bestFit="1" customWidth="1"/>
    <col min="1958" max="1958" width="29.140625" customWidth="1"/>
    <col min="1959" max="1959" width="15.7109375" customWidth="1"/>
    <col min="1960" max="1961" width="6.42578125" customWidth="1"/>
    <col min="1962" max="1962" width="24.5703125" customWidth="1"/>
    <col min="1963" max="1963" width="34.7109375" customWidth="1"/>
    <col min="1964" max="1964" width="16.42578125" customWidth="1"/>
    <col min="1965" max="1965" width="16" bestFit="1" customWidth="1"/>
    <col min="1966" max="1966" width="29.140625" customWidth="1"/>
    <col min="1967" max="1967" width="15.7109375" customWidth="1"/>
    <col min="1968" max="1969" width="6.42578125" customWidth="1"/>
    <col min="1970" max="1970" width="24.5703125" customWidth="1"/>
    <col min="1971" max="1971" width="34.7109375" customWidth="1"/>
    <col min="1972" max="1972" width="16.42578125" customWidth="1"/>
    <col min="1973" max="1973" width="16" bestFit="1" customWidth="1"/>
    <col min="1974" max="1974" width="29.140625" customWidth="1"/>
    <col min="1975" max="1975" width="15.7109375" customWidth="1"/>
    <col min="1976" max="1977" width="6.42578125" customWidth="1"/>
    <col min="1978" max="1978" width="24.5703125" customWidth="1"/>
    <col min="1979" max="1979" width="34.7109375" customWidth="1"/>
    <col min="1980" max="1980" width="16.42578125" customWidth="1"/>
    <col min="1981" max="1981" width="16" bestFit="1" customWidth="1"/>
    <col min="1982" max="1982" width="29.140625" customWidth="1"/>
    <col min="1983" max="1983" width="15.7109375" customWidth="1"/>
    <col min="1984" max="1985" width="6.42578125" customWidth="1"/>
    <col min="1986" max="1986" width="24.5703125" customWidth="1"/>
    <col min="1987" max="1987" width="34.7109375" customWidth="1"/>
    <col min="1988" max="1988" width="16.42578125" customWidth="1"/>
    <col min="1989" max="1989" width="16" bestFit="1" customWidth="1"/>
    <col min="1990" max="1990" width="29.140625" customWidth="1"/>
    <col min="1991" max="1991" width="15.7109375" customWidth="1"/>
    <col min="1992" max="1993" width="6.42578125" customWidth="1"/>
    <col min="1994" max="1994" width="24.5703125" customWidth="1"/>
    <col min="1995" max="1995" width="34.7109375" customWidth="1"/>
    <col min="1996" max="1996" width="16.42578125" customWidth="1"/>
    <col min="1997" max="1997" width="16" bestFit="1" customWidth="1"/>
    <col min="1998" max="1998" width="29.140625" customWidth="1"/>
    <col min="1999" max="1999" width="15.7109375" customWidth="1"/>
    <col min="2000" max="2001" width="6.42578125" customWidth="1"/>
    <col min="2002" max="2002" width="24.5703125" customWidth="1"/>
    <col min="2003" max="2003" width="34.7109375" customWidth="1"/>
    <col min="2004" max="2004" width="16.42578125" customWidth="1"/>
    <col min="2005" max="2005" width="16" bestFit="1" customWidth="1"/>
    <col min="2006" max="2006" width="29.140625" customWidth="1"/>
    <col min="2007" max="2007" width="15.7109375" customWidth="1"/>
    <col min="2008" max="2009" width="6.42578125" customWidth="1"/>
    <col min="2010" max="2010" width="24.5703125" customWidth="1"/>
    <col min="2011" max="2011" width="34.7109375" customWidth="1"/>
    <col min="2012" max="2012" width="16.42578125" customWidth="1"/>
    <col min="2013" max="2013" width="16" bestFit="1" customWidth="1"/>
    <col min="2014" max="2014" width="29.140625" customWidth="1"/>
    <col min="2015" max="2015" width="15.7109375" customWidth="1"/>
    <col min="2016" max="2017" width="6.42578125" customWidth="1"/>
    <col min="2018" max="2018" width="24.5703125" customWidth="1"/>
    <col min="2019" max="2019" width="34.7109375" customWidth="1"/>
    <col min="2020" max="2020" width="16.42578125" customWidth="1"/>
    <col min="2021" max="2021" width="16" bestFit="1" customWidth="1"/>
    <col min="2022" max="2022" width="29.140625" customWidth="1"/>
    <col min="2023" max="2023" width="15.7109375" customWidth="1"/>
    <col min="2024" max="2025" width="6.42578125" customWidth="1"/>
    <col min="2026" max="2026" width="24.5703125" customWidth="1"/>
    <col min="2027" max="2027" width="34.7109375" customWidth="1"/>
    <col min="2028" max="2028" width="16.42578125" customWidth="1"/>
    <col min="2029" max="2029" width="16" bestFit="1" customWidth="1"/>
    <col min="2030" max="2030" width="29.140625" customWidth="1"/>
    <col min="2031" max="2031" width="15.7109375" customWidth="1"/>
    <col min="2032" max="2033" width="6.42578125" customWidth="1"/>
    <col min="2034" max="2034" width="24.5703125" customWidth="1"/>
    <col min="2035" max="2035" width="34.7109375" customWidth="1"/>
    <col min="2036" max="2036" width="16.42578125" customWidth="1"/>
    <col min="2037" max="2037" width="16" bestFit="1" customWidth="1"/>
    <col min="2038" max="2038" width="29.140625" customWidth="1"/>
    <col min="2039" max="2039" width="15.7109375" customWidth="1"/>
    <col min="2040" max="2041" width="6.42578125" customWidth="1"/>
    <col min="2042" max="2042" width="24.5703125" customWidth="1"/>
    <col min="2043" max="2043" width="34.7109375" customWidth="1"/>
    <col min="2044" max="2044" width="16.42578125" customWidth="1"/>
    <col min="2045" max="2045" width="16" bestFit="1" customWidth="1"/>
    <col min="2046" max="2046" width="29.140625" customWidth="1"/>
    <col min="2047" max="2047" width="15.7109375" customWidth="1"/>
    <col min="2048" max="2049" width="6.42578125" customWidth="1"/>
    <col min="2050" max="2050" width="24.5703125" customWidth="1"/>
    <col min="2051" max="2051" width="34.7109375" customWidth="1"/>
    <col min="2052" max="2052" width="16.42578125" customWidth="1"/>
    <col min="2053" max="2053" width="16" bestFit="1" customWidth="1"/>
    <col min="2054" max="2054" width="29.140625" customWidth="1"/>
    <col min="2055" max="2055" width="15.7109375" customWidth="1"/>
    <col min="2056" max="2057" width="6.42578125" customWidth="1"/>
    <col min="2058" max="2058" width="24.5703125" customWidth="1"/>
    <col min="2059" max="2059" width="34.7109375" customWidth="1"/>
    <col min="2060" max="2060" width="16.42578125" customWidth="1"/>
    <col min="2061" max="2061" width="16" bestFit="1" customWidth="1"/>
    <col min="2062" max="2062" width="29.140625" customWidth="1"/>
    <col min="2063" max="2063" width="15.7109375" customWidth="1"/>
    <col min="2064" max="2065" width="6.42578125" customWidth="1"/>
    <col min="2066" max="2066" width="24.5703125" customWidth="1"/>
    <col min="2067" max="2067" width="34.7109375" customWidth="1"/>
    <col min="2068" max="2068" width="16.42578125" customWidth="1"/>
    <col min="2069" max="2069" width="16" bestFit="1" customWidth="1"/>
    <col min="2070" max="2070" width="29.140625" customWidth="1"/>
    <col min="2071" max="2071" width="15.7109375" customWidth="1"/>
    <col min="2072" max="2073" width="6.42578125" customWidth="1"/>
    <col min="2074" max="2074" width="24.5703125" customWidth="1"/>
    <col min="2075" max="2075" width="34.7109375" customWidth="1"/>
    <col min="2076" max="2076" width="16.42578125" customWidth="1"/>
    <col min="2077" max="2077" width="16" bestFit="1" customWidth="1"/>
    <col min="2078" max="2078" width="29.140625" customWidth="1"/>
    <col min="2079" max="2079" width="15.7109375" customWidth="1"/>
    <col min="2080" max="2081" width="6.42578125" customWidth="1"/>
    <col min="2082" max="2082" width="24.5703125" customWidth="1"/>
    <col min="2083" max="2083" width="34.7109375" customWidth="1"/>
    <col min="2084" max="2084" width="16.42578125" customWidth="1"/>
    <col min="2085" max="2085" width="16" bestFit="1" customWidth="1"/>
    <col min="2086" max="2086" width="29.140625" customWidth="1"/>
    <col min="2087" max="2087" width="15.7109375" customWidth="1"/>
    <col min="2088" max="2089" width="6.42578125" customWidth="1"/>
    <col min="2090" max="2090" width="24.5703125" customWidth="1"/>
    <col min="2091" max="2091" width="34.7109375" customWidth="1"/>
    <col min="2092" max="2092" width="16.42578125" customWidth="1"/>
    <col min="2093" max="2093" width="16" bestFit="1" customWidth="1"/>
    <col min="2094" max="2094" width="29.140625" customWidth="1"/>
    <col min="2095" max="2095" width="15.7109375" customWidth="1"/>
    <col min="2096" max="2097" width="6.42578125" customWidth="1"/>
    <col min="2098" max="2098" width="24.5703125" customWidth="1"/>
    <col min="2099" max="2099" width="34.7109375" customWidth="1"/>
    <col min="2100" max="2100" width="16.42578125" customWidth="1"/>
    <col min="2101" max="2101" width="16" bestFit="1" customWidth="1"/>
    <col min="2102" max="2102" width="29.140625" customWidth="1"/>
    <col min="2103" max="2103" width="15.7109375" customWidth="1"/>
    <col min="2104" max="2105" width="6.42578125" customWidth="1"/>
    <col min="2106" max="2106" width="24.5703125" customWidth="1"/>
    <col min="2107" max="2107" width="34.7109375" customWidth="1"/>
    <col min="2108" max="2108" width="16.42578125" customWidth="1"/>
    <col min="2109" max="2109" width="16" bestFit="1" customWidth="1"/>
    <col min="2110" max="2110" width="29.140625" customWidth="1"/>
    <col min="2111" max="2111" width="15.7109375" customWidth="1"/>
    <col min="2112" max="2113" width="6.42578125" customWidth="1"/>
    <col min="2114" max="2114" width="24.5703125" customWidth="1"/>
    <col min="2115" max="2115" width="34.7109375" customWidth="1"/>
    <col min="2116" max="2116" width="16.42578125" customWidth="1"/>
    <col min="2117" max="2117" width="16" bestFit="1" customWidth="1"/>
    <col min="2118" max="2118" width="29.140625" customWidth="1"/>
    <col min="2119" max="2119" width="15.7109375" customWidth="1"/>
    <col min="2120" max="2121" width="6.42578125" customWidth="1"/>
    <col min="2122" max="2122" width="24.5703125" customWidth="1"/>
    <col min="2123" max="2123" width="34.7109375" customWidth="1"/>
    <col min="2124" max="2124" width="16.42578125" customWidth="1"/>
    <col min="2125" max="2125" width="16" bestFit="1" customWidth="1"/>
    <col min="2126" max="2126" width="29.140625" customWidth="1"/>
    <col min="2127" max="2127" width="15.7109375" customWidth="1"/>
    <col min="2128" max="2129" width="6.42578125" customWidth="1"/>
    <col min="2130" max="2130" width="24.5703125" customWidth="1"/>
    <col min="2131" max="2131" width="34.7109375" customWidth="1"/>
    <col min="2132" max="2132" width="16.42578125" customWidth="1"/>
    <col min="2133" max="2133" width="16" bestFit="1" customWidth="1"/>
    <col min="2134" max="2134" width="29.140625" customWidth="1"/>
    <col min="2135" max="2135" width="15.7109375" customWidth="1"/>
    <col min="2136" max="2137" width="6.42578125" customWidth="1"/>
    <col min="2138" max="2138" width="24.5703125" customWidth="1"/>
    <col min="2139" max="2139" width="34.7109375" customWidth="1"/>
    <col min="2140" max="2140" width="16.42578125" customWidth="1"/>
    <col min="2141" max="2141" width="16" bestFit="1" customWidth="1"/>
    <col min="2142" max="2142" width="29.140625" customWidth="1"/>
    <col min="2143" max="2143" width="15.7109375" customWidth="1"/>
    <col min="2144" max="2145" width="6.42578125" customWidth="1"/>
    <col min="2146" max="2146" width="24.5703125" customWidth="1"/>
    <col min="2147" max="2147" width="34.7109375" customWidth="1"/>
    <col min="2148" max="2148" width="16.42578125" customWidth="1"/>
    <col min="2149" max="2149" width="16" bestFit="1" customWidth="1"/>
    <col min="2150" max="2150" width="29.140625" customWidth="1"/>
    <col min="2151" max="2151" width="15.7109375" customWidth="1"/>
    <col min="2152" max="2153" width="6.42578125" customWidth="1"/>
    <col min="2154" max="2154" width="24.5703125" customWidth="1"/>
    <col min="2155" max="2155" width="34.7109375" customWidth="1"/>
    <col min="2156" max="2156" width="16.42578125" customWidth="1"/>
    <col min="2157" max="2157" width="16" bestFit="1" customWidth="1"/>
    <col min="2158" max="2158" width="29.140625" customWidth="1"/>
    <col min="2159" max="2159" width="15.7109375" customWidth="1"/>
    <col min="2160" max="2161" width="6.42578125" customWidth="1"/>
    <col min="2162" max="2162" width="24.5703125" customWidth="1"/>
    <col min="2163" max="2163" width="34.7109375" customWidth="1"/>
    <col min="2164" max="2164" width="16.42578125" customWidth="1"/>
    <col min="2165" max="2165" width="16" bestFit="1" customWidth="1"/>
    <col min="2166" max="2166" width="29.140625" customWidth="1"/>
    <col min="2167" max="2167" width="15.7109375" customWidth="1"/>
    <col min="2168" max="2169" width="6.42578125" customWidth="1"/>
    <col min="2170" max="2170" width="24.5703125" customWidth="1"/>
    <col min="2171" max="2171" width="34.7109375" customWidth="1"/>
    <col min="2172" max="2172" width="16.42578125" customWidth="1"/>
    <col min="2173" max="2173" width="16" bestFit="1" customWidth="1"/>
    <col min="2174" max="2174" width="29.140625" customWidth="1"/>
    <col min="2175" max="2175" width="15.7109375" customWidth="1"/>
    <col min="2176" max="2177" width="6.42578125" customWidth="1"/>
    <col min="2178" max="2178" width="24.5703125" customWidth="1"/>
    <col min="2179" max="2179" width="34.7109375" customWidth="1"/>
    <col min="2180" max="2180" width="16.42578125" customWidth="1"/>
    <col min="2181" max="2181" width="16" bestFit="1" customWidth="1"/>
    <col min="2182" max="2182" width="29.140625" customWidth="1"/>
    <col min="2183" max="2183" width="15.7109375" customWidth="1"/>
    <col min="2184" max="2185" width="6.42578125" customWidth="1"/>
    <col min="2186" max="2186" width="24.5703125" customWidth="1"/>
    <col min="2187" max="2187" width="34.7109375" customWidth="1"/>
    <col min="2188" max="2188" width="16.42578125" customWidth="1"/>
    <col min="2189" max="2189" width="16" bestFit="1" customWidth="1"/>
    <col min="2190" max="2190" width="29.140625" customWidth="1"/>
    <col min="2191" max="2191" width="15.7109375" customWidth="1"/>
    <col min="2192" max="2193" width="6.42578125" customWidth="1"/>
    <col min="2194" max="2194" width="24.5703125" customWidth="1"/>
    <col min="2195" max="2195" width="34.7109375" customWidth="1"/>
    <col min="2196" max="2196" width="16.42578125" customWidth="1"/>
    <col min="2197" max="2197" width="16" bestFit="1" customWidth="1"/>
    <col min="2198" max="2198" width="29.140625" customWidth="1"/>
    <col min="2199" max="2199" width="15.7109375" customWidth="1"/>
    <col min="2200" max="2201" width="6.42578125" customWidth="1"/>
    <col min="2202" max="2202" width="24.5703125" customWidth="1"/>
    <col min="2203" max="2203" width="34.7109375" customWidth="1"/>
    <col min="2204" max="2204" width="16.42578125" customWidth="1"/>
    <col min="2205" max="2205" width="16" bestFit="1" customWidth="1"/>
    <col min="2206" max="2206" width="29.140625" customWidth="1"/>
    <col min="2207" max="2207" width="15.7109375" customWidth="1"/>
    <col min="2208" max="2209" width="6.42578125" customWidth="1"/>
    <col min="2210" max="2210" width="24.5703125" customWidth="1"/>
    <col min="2211" max="2211" width="34.7109375" customWidth="1"/>
    <col min="2212" max="2212" width="16.42578125" customWidth="1"/>
    <col min="2213" max="2213" width="16" bestFit="1" customWidth="1"/>
    <col min="2214" max="2214" width="29.140625" customWidth="1"/>
    <col min="2215" max="2215" width="15.7109375" customWidth="1"/>
    <col min="2216" max="2217" width="6.42578125" customWidth="1"/>
    <col min="2218" max="2218" width="24.5703125" customWidth="1"/>
    <col min="2219" max="2219" width="34.7109375" customWidth="1"/>
    <col min="2220" max="2220" width="16.42578125" customWidth="1"/>
    <col min="2221" max="2221" width="16" bestFit="1" customWidth="1"/>
    <col min="2222" max="2222" width="29.140625" customWidth="1"/>
    <col min="2223" max="2223" width="15.7109375" customWidth="1"/>
    <col min="2224" max="2225" width="6.42578125" customWidth="1"/>
    <col min="2226" max="2226" width="24.5703125" customWidth="1"/>
    <col min="2227" max="2227" width="34.7109375" customWidth="1"/>
    <col min="2228" max="2228" width="16.42578125" customWidth="1"/>
    <col min="2229" max="2229" width="16" bestFit="1" customWidth="1"/>
    <col min="2230" max="2230" width="29.140625" customWidth="1"/>
    <col min="2231" max="2231" width="15.7109375" customWidth="1"/>
    <col min="2232" max="2233" width="6.42578125" customWidth="1"/>
    <col min="2234" max="2234" width="24.5703125" customWidth="1"/>
    <col min="2235" max="2235" width="34.7109375" customWidth="1"/>
    <col min="2236" max="2236" width="16.42578125" customWidth="1"/>
    <col min="2237" max="2237" width="16" bestFit="1" customWidth="1"/>
    <col min="2238" max="2238" width="29.140625" customWidth="1"/>
    <col min="2239" max="2239" width="15.7109375" customWidth="1"/>
    <col min="2240" max="2241" width="6.42578125" customWidth="1"/>
    <col min="2242" max="2242" width="24.5703125" customWidth="1"/>
    <col min="2243" max="2243" width="34.7109375" customWidth="1"/>
    <col min="2244" max="2244" width="16.42578125" customWidth="1"/>
    <col min="2245" max="2245" width="16" bestFit="1" customWidth="1"/>
    <col min="2246" max="2246" width="29.140625" customWidth="1"/>
    <col min="2247" max="2247" width="15.7109375" customWidth="1"/>
    <col min="2248" max="2249" width="6.42578125" customWidth="1"/>
    <col min="2250" max="2250" width="24.5703125" customWidth="1"/>
    <col min="2251" max="2251" width="34.7109375" customWidth="1"/>
    <col min="2252" max="2252" width="16.42578125" customWidth="1"/>
    <col min="2253" max="2253" width="16" bestFit="1" customWidth="1"/>
    <col min="2254" max="2254" width="29.140625" customWidth="1"/>
    <col min="2255" max="2255" width="15.7109375" customWidth="1"/>
    <col min="2256" max="2257" width="6.42578125" customWidth="1"/>
    <col min="2258" max="2258" width="24.5703125" customWidth="1"/>
    <col min="2259" max="2259" width="34.7109375" customWidth="1"/>
    <col min="2260" max="2260" width="16.42578125" customWidth="1"/>
    <col min="2261" max="2261" width="16" bestFit="1" customWidth="1"/>
    <col min="2262" max="2262" width="29.140625" customWidth="1"/>
    <col min="2263" max="2263" width="15.7109375" customWidth="1"/>
    <col min="2264" max="2265" width="6.42578125" customWidth="1"/>
    <col min="2266" max="2266" width="24.5703125" customWidth="1"/>
    <col min="2267" max="2267" width="34.7109375" customWidth="1"/>
    <col min="2268" max="2268" width="16.42578125" customWidth="1"/>
    <col min="2269" max="2269" width="16" bestFit="1" customWidth="1"/>
    <col min="2270" max="2270" width="29.140625" customWidth="1"/>
    <col min="2271" max="2271" width="15.7109375" customWidth="1"/>
    <col min="2272" max="2273" width="6.42578125" customWidth="1"/>
    <col min="2274" max="2274" width="24.5703125" customWidth="1"/>
    <col min="2275" max="2275" width="34.7109375" customWidth="1"/>
    <col min="2276" max="2276" width="16.42578125" customWidth="1"/>
    <col min="2277" max="2277" width="16" bestFit="1" customWidth="1"/>
    <col min="2278" max="2278" width="29.140625" customWidth="1"/>
    <col min="2279" max="2279" width="15.7109375" customWidth="1"/>
    <col min="2280" max="2281" width="6.42578125" customWidth="1"/>
    <col min="2282" max="2282" width="24.5703125" customWidth="1"/>
    <col min="2283" max="2283" width="34.7109375" customWidth="1"/>
    <col min="2284" max="2284" width="16.42578125" customWidth="1"/>
    <col min="2285" max="2285" width="16" bestFit="1" customWidth="1"/>
    <col min="2286" max="2286" width="29.140625" customWidth="1"/>
    <col min="2287" max="2287" width="15.7109375" customWidth="1"/>
    <col min="2288" max="2289" width="6.42578125" customWidth="1"/>
    <col min="2290" max="2290" width="24.5703125" customWidth="1"/>
    <col min="2291" max="2291" width="34.7109375" customWidth="1"/>
    <col min="2292" max="2292" width="16.42578125" customWidth="1"/>
    <col min="2293" max="2293" width="16" bestFit="1" customWidth="1"/>
    <col min="2294" max="2294" width="29.140625" customWidth="1"/>
    <col min="2295" max="2295" width="15.7109375" customWidth="1"/>
    <col min="2296" max="2297" width="6.42578125" customWidth="1"/>
    <col min="2298" max="2298" width="24.5703125" customWidth="1"/>
    <col min="2299" max="2299" width="34.7109375" customWidth="1"/>
    <col min="2300" max="2300" width="16.42578125" customWidth="1"/>
    <col min="2301" max="2301" width="16" bestFit="1" customWidth="1"/>
    <col min="2302" max="2302" width="29.140625" customWidth="1"/>
    <col min="2303" max="2303" width="15.7109375" customWidth="1"/>
    <col min="2304" max="2305" width="6.42578125" customWidth="1"/>
    <col min="2306" max="2306" width="24.5703125" customWidth="1"/>
    <col min="2307" max="2307" width="34.7109375" customWidth="1"/>
    <col min="2308" max="2308" width="16.42578125" customWidth="1"/>
    <col min="2309" max="2309" width="16" bestFit="1" customWidth="1"/>
    <col min="2310" max="2310" width="29.140625" customWidth="1"/>
    <col min="2311" max="2311" width="15.7109375" customWidth="1"/>
    <col min="2312" max="2313" width="6.42578125" customWidth="1"/>
    <col min="2314" max="2314" width="24.5703125" customWidth="1"/>
    <col min="2315" max="2315" width="34.7109375" customWidth="1"/>
    <col min="2316" max="2316" width="16.42578125" customWidth="1"/>
    <col min="2317" max="2317" width="16" bestFit="1" customWidth="1"/>
    <col min="2318" max="2318" width="29.140625" customWidth="1"/>
    <col min="2319" max="2319" width="15.7109375" customWidth="1"/>
    <col min="2320" max="2321" width="6.42578125" customWidth="1"/>
    <col min="2322" max="2322" width="24.5703125" customWidth="1"/>
    <col min="2323" max="2323" width="34.7109375" customWidth="1"/>
    <col min="2324" max="2324" width="16.42578125" customWidth="1"/>
    <col min="2325" max="2325" width="16" bestFit="1" customWidth="1"/>
    <col min="2326" max="2326" width="29.140625" customWidth="1"/>
    <col min="2327" max="2327" width="15.7109375" customWidth="1"/>
    <col min="2328" max="2329" width="6.42578125" customWidth="1"/>
    <col min="2330" max="2330" width="24.5703125" customWidth="1"/>
    <col min="2331" max="2331" width="34.7109375" customWidth="1"/>
    <col min="2332" max="2332" width="16.42578125" customWidth="1"/>
    <col min="2333" max="2333" width="16" bestFit="1" customWidth="1"/>
    <col min="2334" max="2334" width="29.140625" customWidth="1"/>
    <col min="2335" max="2335" width="15.7109375" customWidth="1"/>
    <col min="2336" max="2337" width="6.42578125" customWidth="1"/>
    <col min="2338" max="2338" width="24.5703125" customWidth="1"/>
    <col min="2339" max="2339" width="34.7109375" customWidth="1"/>
    <col min="2340" max="2340" width="16.42578125" customWidth="1"/>
    <col min="2341" max="2341" width="16" bestFit="1" customWidth="1"/>
    <col min="2342" max="2342" width="29.140625" customWidth="1"/>
    <col min="2343" max="2343" width="15.7109375" customWidth="1"/>
    <col min="2344" max="2345" width="6.42578125" customWidth="1"/>
    <col min="2346" max="2346" width="24.5703125" customWidth="1"/>
    <col min="2347" max="2347" width="34.7109375" customWidth="1"/>
    <col min="2348" max="2348" width="16.42578125" customWidth="1"/>
    <col min="2349" max="2349" width="16" bestFit="1" customWidth="1"/>
    <col min="2350" max="2350" width="29.140625" customWidth="1"/>
    <col min="2351" max="2351" width="15.7109375" customWidth="1"/>
    <col min="2352" max="2353" width="6.42578125" customWidth="1"/>
    <col min="2354" max="2354" width="24.5703125" customWidth="1"/>
    <col min="2355" max="2355" width="34.7109375" customWidth="1"/>
    <col min="2356" max="2356" width="16.42578125" customWidth="1"/>
    <col min="2357" max="2357" width="16" bestFit="1" customWidth="1"/>
    <col min="2358" max="2358" width="29.140625" customWidth="1"/>
    <col min="2359" max="2359" width="15.7109375" customWidth="1"/>
    <col min="2360" max="2361" width="6.42578125" customWidth="1"/>
    <col min="2362" max="2362" width="24.5703125" customWidth="1"/>
    <col min="2363" max="2363" width="34.7109375" customWidth="1"/>
    <col min="2364" max="2364" width="16.42578125" customWidth="1"/>
    <col min="2365" max="2365" width="16" bestFit="1" customWidth="1"/>
    <col min="2366" max="2366" width="29.140625" customWidth="1"/>
    <col min="2367" max="2367" width="15.7109375" customWidth="1"/>
    <col min="2368" max="2369" width="6.42578125" customWidth="1"/>
    <col min="2370" max="2370" width="24.5703125" customWidth="1"/>
    <col min="2371" max="2371" width="34.7109375" customWidth="1"/>
    <col min="2372" max="2372" width="16.42578125" customWidth="1"/>
    <col min="2373" max="2373" width="16" bestFit="1" customWidth="1"/>
    <col min="2374" max="2374" width="29.140625" customWidth="1"/>
    <col min="2375" max="2375" width="15.7109375" customWidth="1"/>
    <col min="2376" max="2377" width="6.42578125" customWidth="1"/>
    <col min="2378" max="2378" width="24.5703125" customWidth="1"/>
    <col min="2379" max="2379" width="34.7109375" customWidth="1"/>
    <col min="2380" max="2380" width="16.42578125" customWidth="1"/>
    <col min="2381" max="2381" width="16" bestFit="1" customWidth="1"/>
    <col min="2382" max="2382" width="29.140625" customWidth="1"/>
    <col min="2383" max="2383" width="15.7109375" customWidth="1"/>
    <col min="2384" max="2385" width="6.42578125" customWidth="1"/>
    <col min="2386" max="2386" width="24.5703125" customWidth="1"/>
    <col min="2387" max="2387" width="34.7109375" customWidth="1"/>
    <col min="2388" max="2388" width="16.42578125" customWidth="1"/>
    <col min="2389" max="2389" width="16" bestFit="1" customWidth="1"/>
    <col min="2390" max="2390" width="29.140625" customWidth="1"/>
    <col min="2391" max="2391" width="15.7109375" customWidth="1"/>
    <col min="2392" max="2393" width="6.42578125" customWidth="1"/>
    <col min="2394" max="2394" width="24.5703125" customWidth="1"/>
    <col min="2395" max="2395" width="34.7109375" customWidth="1"/>
    <col min="2396" max="2396" width="16.42578125" customWidth="1"/>
    <col min="2397" max="2397" width="16" bestFit="1" customWidth="1"/>
    <col min="2398" max="2398" width="29.140625" customWidth="1"/>
    <col min="2399" max="2399" width="15.7109375" customWidth="1"/>
    <col min="2400" max="2401" width="6.42578125" customWidth="1"/>
    <col min="2402" max="2402" width="24.5703125" customWidth="1"/>
    <col min="2403" max="2403" width="34.7109375" customWidth="1"/>
    <col min="2404" max="2404" width="16.42578125" customWidth="1"/>
    <col min="2405" max="2405" width="16" bestFit="1" customWidth="1"/>
    <col min="2406" max="2406" width="29.140625" customWidth="1"/>
    <col min="2407" max="2407" width="15.7109375" customWidth="1"/>
    <col min="2408" max="2409" width="6.42578125" customWidth="1"/>
    <col min="2410" max="2410" width="24.5703125" customWidth="1"/>
    <col min="2411" max="2411" width="34.7109375" customWidth="1"/>
    <col min="2412" max="2412" width="16.42578125" customWidth="1"/>
    <col min="2413" max="2413" width="16" bestFit="1" customWidth="1"/>
    <col min="2414" max="2414" width="29.140625" customWidth="1"/>
    <col min="2415" max="2415" width="15.7109375" customWidth="1"/>
    <col min="2416" max="2417" width="6.42578125" customWidth="1"/>
    <col min="2418" max="2418" width="24.5703125" customWidth="1"/>
    <col min="2419" max="2419" width="34.7109375" customWidth="1"/>
    <col min="2420" max="2420" width="16.42578125" customWidth="1"/>
    <col min="2421" max="2421" width="16" bestFit="1" customWidth="1"/>
    <col min="2422" max="2422" width="29.140625" customWidth="1"/>
    <col min="2423" max="2423" width="15.7109375" customWidth="1"/>
    <col min="2424" max="2425" width="6.42578125" customWidth="1"/>
    <col min="2426" max="2426" width="24.5703125" customWidth="1"/>
    <col min="2427" max="2427" width="34.7109375" customWidth="1"/>
    <col min="2428" max="2428" width="16.42578125" customWidth="1"/>
    <col min="2429" max="2429" width="16" bestFit="1" customWidth="1"/>
    <col min="2430" max="2430" width="29.140625" customWidth="1"/>
    <col min="2431" max="2431" width="15.7109375" customWidth="1"/>
    <col min="2432" max="2433" width="6.42578125" customWidth="1"/>
    <col min="2434" max="2434" width="24.5703125" customWidth="1"/>
    <col min="2435" max="2435" width="34.7109375" customWidth="1"/>
    <col min="2436" max="2436" width="16.42578125" customWidth="1"/>
    <col min="2437" max="2437" width="16" bestFit="1" customWidth="1"/>
    <col min="2438" max="2438" width="29.140625" customWidth="1"/>
    <col min="2439" max="2439" width="15.7109375" customWidth="1"/>
    <col min="2440" max="2441" width="6.42578125" customWidth="1"/>
    <col min="2442" max="2442" width="24.5703125" customWidth="1"/>
    <col min="2443" max="2443" width="34.7109375" customWidth="1"/>
    <col min="2444" max="2444" width="16.42578125" customWidth="1"/>
    <col min="2445" max="2445" width="16" bestFit="1" customWidth="1"/>
    <col min="2446" max="2446" width="29.140625" customWidth="1"/>
    <col min="2447" max="2447" width="15.7109375" customWidth="1"/>
    <col min="2448" max="2449" width="6.42578125" customWidth="1"/>
    <col min="2450" max="2450" width="24.5703125" customWidth="1"/>
    <col min="2451" max="2451" width="34.7109375" customWidth="1"/>
    <col min="2452" max="2452" width="16.42578125" customWidth="1"/>
    <col min="2453" max="2453" width="16" bestFit="1" customWidth="1"/>
    <col min="2454" max="2454" width="29.140625" customWidth="1"/>
    <col min="2455" max="2455" width="15.7109375" customWidth="1"/>
    <col min="2456" max="2457" width="6.42578125" customWidth="1"/>
    <col min="2458" max="2458" width="24.5703125" customWidth="1"/>
    <col min="2459" max="2459" width="34.7109375" customWidth="1"/>
    <col min="2460" max="2460" width="16.42578125" customWidth="1"/>
    <col min="2461" max="2461" width="16" bestFit="1" customWidth="1"/>
    <col min="2462" max="2462" width="29.140625" customWidth="1"/>
    <col min="2463" max="2463" width="15.7109375" customWidth="1"/>
    <col min="2464" max="2465" width="6.42578125" customWidth="1"/>
    <col min="2466" max="2466" width="24.5703125" customWidth="1"/>
    <col min="2467" max="2467" width="34.7109375" customWidth="1"/>
    <col min="2468" max="2468" width="16.42578125" customWidth="1"/>
    <col min="2469" max="2469" width="16" bestFit="1" customWidth="1"/>
    <col min="2470" max="2470" width="29.140625" customWidth="1"/>
    <col min="2471" max="2471" width="15.7109375" customWidth="1"/>
    <col min="2472" max="2473" width="6.42578125" customWidth="1"/>
    <col min="2474" max="2474" width="24.5703125" customWidth="1"/>
    <col min="2475" max="2475" width="34.7109375" customWidth="1"/>
    <col min="2476" max="2476" width="16.42578125" customWidth="1"/>
    <col min="2477" max="2477" width="16" bestFit="1" customWidth="1"/>
    <col min="2478" max="2478" width="29.140625" customWidth="1"/>
    <col min="2479" max="2479" width="15.7109375" customWidth="1"/>
    <col min="2480" max="2481" width="6.42578125" customWidth="1"/>
    <col min="2482" max="2482" width="24.5703125" customWidth="1"/>
    <col min="2483" max="2483" width="34.7109375" customWidth="1"/>
    <col min="2484" max="2484" width="16.42578125" customWidth="1"/>
    <col min="2485" max="2485" width="16" bestFit="1" customWidth="1"/>
    <col min="2486" max="2486" width="29.140625" customWidth="1"/>
    <col min="2487" max="2487" width="15.7109375" customWidth="1"/>
    <col min="2488" max="2489" width="6.42578125" customWidth="1"/>
    <col min="2490" max="2490" width="24.5703125" customWidth="1"/>
    <col min="2491" max="2491" width="34.7109375" customWidth="1"/>
    <col min="2492" max="2492" width="16.42578125" customWidth="1"/>
    <col min="2493" max="2493" width="16" bestFit="1" customWidth="1"/>
    <col min="2494" max="2494" width="29.140625" customWidth="1"/>
    <col min="2495" max="2495" width="15.7109375" customWidth="1"/>
    <col min="2496" max="2497" width="6.42578125" customWidth="1"/>
    <col min="2498" max="2498" width="24.5703125" customWidth="1"/>
    <col min="2499" max="2499" width="34.7109375" customWidth="1"/>
    <col min="2500" max="2500" width="16.42578125" customWidth="1"/>
    <col min="2501" max="2501" width="16" bestFit="1" customWidth="1"/>
    <col min="2502" max="2502" width="29.140625" customWidth="1"/>
    <col min="2503" max="2503" width="15.7109375" customWidth="1"/>
    <col min="2504" max="2505" width="6.42578125" customWidth="1"/>
    <col min="2506" max="2506" width="24.5703125" customWidth="1"/>
    <col min="2507" max="2507" width="34.7109375" customWidth="1"/>
    <col min="2508" max="2508" width="16.42578125" customWidth="1"/>
    <col min="2509" max="2509" width="16" bestFit="1" customWidth="1"/>
    <col min="2510" max="2510" width="29.140625" customWidth="1"/>
    <col min="2511" max="2511" width="15.7109375" customWidth="1"/>
    <col min="2512" max="2513" width="6.42578125" customWidth="1"/>
    <col min="2514" max="2514" width="24.5703125" customWidth="1"/>
    <col min="2515" max="2515" width="34.7109375" customWidth="1"/>
    <col min="2516" max="2516" width="16.42578125" customWidth="1"/>
    <col min="2517" max="2517" width="16" bestFit="1" customWidth="1"/>
    <col min="2518" max="2518" width="29.140625" customWidth="1"/>
    <col min="2519" max="2519" width="15.7109375" customWidth="1"/>
    <col min="2520" max="2521" width="6.42578125" customWidth="1"/>
    <col min="2522" max="2522" width="24.5703125" customWidth="1"/>
    <col min="2523" max="2523" width="34.7109375" customWidth="1"/>
    <col min="2524" max="2524" width="16.42578125" customWidth="1"/>
    <col min="2525" max="2525" width="16" bestFit="1" customWidth="1"/>
    <col min="2526" max="2526" width="29.140625" customWidth="1"/>
    <col min="2527" max="2527" width="15.7109375" customWidth="1"/>
    <col min="2528" max="2529" width="6.42578125" customWidth="1"/>
    <col min="2530" max="2530" width="24.5703125" customWidth="1"/>
    <col min="2531" max="2531" width="34.7109375" customWidth="1"/>
    <col min="2532" max="2532" width="16.42578125" customWidth="1"/>
    <col min="2533" max="2533" width="16" bestFit="1" customWidth="1"/>
    <col min="2534" max="2534" width="29.140625" customWidth="1"/>
    <col min="2535" max="2535" width="15.7109375" customWidth="1"/>
    <col min="2536" max="2537" width="6.42578125" customWidth="1"/>
    <col min="2538" max="2538" width="24.5703125" customWidth="1"/>
    <col min="2539" max="2539" width="34.7109375" customWidth="1"/>
    <col min="2540" max="2540" width="16.42578125" customWidth="1"/>
    <col min="2541" max="2541" width="16" bestFit="1" customWidth="1"/>
    <col min="2542" max="2542" width="29.140625" customWidth="1"/>
    <col min="2543" max="2543" width="15.7109375" customWidth="1"/>
    <col min="2544" max="2545" width="6.42578125" customWidth="1"/>
    <col min="2546" max="2546" width="24.5703125" customWidth="1"/>
    <col min="2547" max="2547" width="34.7109375" customWidth="1"/>
    <col min="2548" max="2548" width="16.42578125" customWidth="1"/>
    <col min="2549" max="2549" width="16" bestFit="1" customWidth="1"/>
    <col min="2550" max="2550" width="29.140625" customWidth="1"/>
    <col min="2551" max="2551" width="15.7109375" customWidth="1"/>
    <col min="2552" max="2553" width="6.42578125" customWidth="1"/>
    <col min="2554" max="2554" width="24.5703125" customWidth="1"/>
    <col min="2555" max="2555" width="34.7109375" customWidth="1"/>
    <col min="2556" max="2556" width="16.42578125" customWidth="1"/>
    <col min="2557" max="2557" width="16" bestFit="1" customWidth="1"/>
    <col min="2558" max="2558" width="29.140625" customWidth="1"/>
    <col min="2559" max="2559" width="15.7109375" customWidth="1"/>
    <col min="2560" max="2561" width="6.42578125" customWidth="1"/>
    <col min="2562" max="2562" width="24.5703125" customWidth="1"/>
    <col min="2563" max="2563" width="34.7109375" customWidth="1"/>
    <col min="2564" max="2564" width="16.42578125" customWidth="1"/>
    <col min="2565" max="2565" width="16" bestFit="1" customWidth="1"/>
    <col min="2566" max="2566" width="29.140625" customWidth="1"/>
    <col min="2567" max="2567" width="15.7109375" customWidth="1"/>
    <col min="2568" max="2569" width="6.42578125" customWidth="1"/>
    <col min="2570" max="2570" width="24.5703125" customWidth="1"/>
    <col min="2571" max="2571" width="34.7109375" customWidth="1"/>
    <col min="2572" max="2572" width="16.42578125" customWidth="1"/>
    <col min="2573" max="2573" width="16" bestFit="1" customWidth="1"/>
    <col min="2574" max="2574" width="29.140625" customWidth="1"/>
    <col min="2575" max="2575" width="15.7109375" customWidth="1"/>
    <col min="2576" max="2577" width="6.42578125" customWidth="1"/>
    <col min="2578" max="2578" width="24.5703125" customWidth="1"/>
    <col min="2579" max="2579" width="34.7109375" customWidth="1"/>
    <col min="2580" max="2580" width="16.42578125" customWidth="1"/>
    <col min="2581" max="2581" width="16" bestFit="1" customWidth="1"/>
    <col min="2582" max="2582" width="29.140625" customWidth="1"/>
    <col min="2583" max="2583" width="15.7109375" customWidth="1"/>
    <col min="2584" max="2585" width="6.42578125" customWidth="1"/>
    <col min="2586" max="2586" width="24.5703125" customWidth="1"/>
    <col min="2587" max="2587" width="34.7109375" customWidth="1"/>
    <col min="2588" max="2588" width="16.42578125" customWidth="1"/>
    <col min="2589" max="2589" width="16" bestFit="1" customWidth="1"/>
    <col min="2590" max="2590" width="29.140625" customWidth="1"/>
    <col min="2591" max="2591" width="15.7109375" customWidth="1"/>
    <col min="2592" max="2593" width="6.42578125" customWidth="1"/>
    <col min="2594" max="2594" width="24.5703125" customWidth="1"/>
    <col min="2595" max="2595" width="34.7109375" customWidth="1"/>
    <col min="2596" max="2596" width="16.42578125" customWidth="1"/>
    <col min="2597" max="2597" width="16" bestFit="1" customWidth="1"/>
    <col min="2598" max="2598" width="29.140625" customWidth="1"/>
    <col min="2599" max="2599" width="15.7109375" customWidth="1"/>
    <col min="2600" max="2601" width="6.42578125" customWidth="1"/>
    <col min="2602" max="2602" width="24.5703125" customWidth="1"/>
    <col min="2603" max="2603" width="34.7109375" customWidth="1"/>
    <col min="2604" max="2604" width="16.42578125" customWidth="1"/>
    <col min="2605" max="2605" width="16" bestFit="1" customWidth="1"/>
    <col min="2606" max="2606" width="29.140625" customWidth="1"/>
    <col min="2607" max="2607" width="15.7109375" customWidth="1"/>
    <col min="2608" max="2609" width="6.42578125" customWidth="1"/>
    <col min="2610" max="2610" width="24.5703125" customWidth="1"/>
    <col min="2611" max="2611" width="34.7109375" customWidth="1"/>
    <col min="2612" max="2612" width="16.42578125" customWidth="1"/>
    <col min="2613" max="2613" width="16" bestFit="1" customWidth="1"/>
    <col min="2614" max="2614" width="29.140625" customWidth="1"/>
    <col min="2615" max="2615" width="15.7109375" customWidth="1"/>
    <col min="2616" max="2617" width="6.42578125" customWidth="1"/>
    <col min="2618" max="2618" width="24.5703125" customWidth="1"/>
    <col min="2619" max="2619" width="34.7109375" customWidth="1"/>
    <col min="2620" max="2620" width="16.42578125" customWidth="1"/>
    <col min="2621" max="2621" width="16" bestFit="1" customWidth="1"/>
    <col min="2622" max="2622" width="29.140625" customWidth="1"/>
    <col min="2623" max="2623" width="15.7109375" customWidth="1"/>
    <col min="2624" max="2625" width="6.42578125" customWidth="1"/>
    <col min="2626" max="2626" width="24.5703125" customWidth="1"/>
    <col min="2627" max="2627" width="34.7109375" customWidth="1"/>
    <col min="2628" max="2628" width="16.42578125" customWidth="1"/>
    <col min="2629" max="2629" width="16" bestFit="1" customWidth="1"/>
    <col min="2630" max="2630" width="29.140625" customWidth="1"/>
    <col min="2631" max="2631" width="15.7109375" customWidth="1"/>
    <col min="2632" max="2633" width="6.42578125" customWidth="1"/>
    <col min="2634" max="2634" width="24.5703125" customWidth="1"/>
    <col min="2635" max="2635" width="34.7109375" customWidth="1"/>
    <col min="2636" max="2636" width="16.42578125" customWidth="1"/>
    <col min="2637" max="2637" width="16" bestFit="1" customWidth="1"/>
    <col min="2638" max="2638" width="29.140625" customWidth="1"/>
    <col min="2639" max="2639" width="15.7109375" customWidth="1"/>
    <col min="2640" max="2641" width="6.42578125" customWidth="1"/>
    <col min="2642" max="2642" width="24.5703125" customWidth="1"/>
    <col min="2643" max="2643" width="34.7109375" customWidth="1"/>
    <col min="2644" max="2644" width="16.42578125" customWidth="1"/>
    <col min="2645" max="2645" width="16" bestFit="1" customWidth="1"/>
    <col min="2646" max="2646" width="29.140625" customWidth="1"/>
    <col min="2647" max="2647" width="15.7109375" customWidth="1"/>
    <col min="2648" max="2649" width="6.42578125" customWidth="1"/>
    <col min="2650" max="2650" width="24.5703125" customWidth="1"/>
    <col min="2651" max="2651" width="34.7109375" customWidth="1"/>
    <col min="2652" max="2652" width="16.42578125" customWidth="1"/>
    <col min="2653" max="2653" width="16" bestFit="1" customWidth="1"/>
    <col min="2654" max="2654" width="29.140625" customWidth="1"/>
    <col min="2655" max="2655" width="15.7109375" customWidth="1"/>
    <col min="2656" max="2657" width="6.42578125" customWidth="1"/>
    <col min="2658" max="2658" width="24.5703125" customWidth="1"/>
    <col min="2659" max="2659" width="34.7109375" customWidth="1"/>
    <col min="2660" max="2660" width="16.42578125" customWidth="1"/>
    <col min="2661" max="2661" width="16" bestFit="1" customWidth="1"/>
    <col min="2662" max="2662" width="29.140625" customWidth="1"/>
    <col min="2663" max="2663" width="15.7109375" customWidth="1"/>
    <col min="2664" max="2665" width="6.42578125" customWidth="1"/>
    <col min="2666" max="2666" width="24.5703125" customWidth="1"/>
    <col min="2667" max="2667" width="34.7109375" customWidth="1"/>
    <col min="2668" max="2668" width="16.42578125" customWidth="1"/>
    <col min="2669" max="2669" width="16" bestFit="1" customWidth="1"/>
    <col min="2670" max="2670" width="29.140625" customWidth="1"/>
    <col min="2671" max="2671" width="15.7109375" customWidth="1"/>
    <col min="2672" max="2673" width="6.42578125" customWidth="1"/>
    <col min="2674" max="2674" width="24.5703125" customWidth="1"/>
    <col min="2675" max="2675" width="34.7109375" customWidth="1"/>
    <col min="2676" max="2676" width="16.42578125" customWidth="1"/>
    <col min="2677" max="2677" width="16" bestFit="1" customWidth="1"/>
    <col min="2678" max="2678" width="29.140625" customWidth="1"/>
    <col min="2679" max="2679" width="15.7109375" customWidth="1"/>
    <col min="2680" max="2681" width="6.42578125" customWidth="1"/>
    <col min="2682" max="2682" width="24.5703125" customWidth="1"/>
    <col min="2683" max="2683" width="34.7109375" customWidth="1"/>
    <col min="2684" max="2684" width="16.42578125" customWidth="1"/>
    <col min="2685" max="2685" width="16" bestFit="1" customWidth="1"/>
    <col min="2686" max="2686" width="29.140625" customWidth="1"/>
    <col min="2687" max="2687" width="15.7109375" customWidth="1"/>
    <col min="2688" max="2689" width="6.42578125" customWidth="1"/>
    <col min="2690" max="2690" width="24.5703125" customWidth="1"/>
    <col min="2691" max="2691" width="34.7109375" customWidth="1"/>
    <col min="2692" max="2692" width="16.42578125" customWidth="1"/>
    <col min="2693" max="2693" width="16" bestFit="1" customWidth="1"/>
    <col min="2694" max="2694" width="29.140625" customWidth="1"/>
    <col min="2695" max="2695" width="15.7109375" customWidth="1"/>
    <col min="2696" max="2697" width="6.42578125" customWidth="1"/>
    <col min="2698" max="2698" width="24.5703125" customWidth="1"/>
    <col min="2699" max="2699" width="34.7109375" customWidth="1"/>
    <col min="2700" max="2700" width="16.42578125" customWidth="1"/>
    <col min="2701" max="2701" width="16" bestFit="1" customWidth="1"/>
    <col min="2702" max="2702" width="29.140625" customWidth="1"/>
    <col min="2703" max="2703" width="15.7109375" customWidth="1"/>
    <col min="2704" max="2705" width="6.42578125" customWidth="1"/>
    <col min="2706" max="2706" width="24.5703125" customWidth="1"/>
    <col min="2707" max="2707" width="34.7109375" customWidth="1"/>
    <col min="2708" max="2708" width="16.42578125" customWidth="1"/>
    <col min="2709" max="2709" width="16" bestFit="1" customWidth="1"/>
    <col min="2710" max="2710" width="29.140625" customWidth="1"/>
    <col min="2711" max="2711" width="15.7109375" customWidth="1"/>
    <col min="2712" max="2713" width="6.42578125" customWidth="1"/>
    <col min="2714" max="2714" width="24.5703125" customWidth="1"/>
    <col min="2715" max="2715" width="34.7109375" customWidth="1"/>
    <col min="2716" max="2716" width="16.42578125" customWidth="1"/>
    <col min="2717" max="2717" width="16" bestFit="1" customWidth="1"/>
    <col min="2718" max="2718" width="29.140625" customWidth="1"/>
    <col min="2719" max="2719" width="15.7109375" customWidth="1"/>
    <col min="2720" max="2721" width="6.42578125" customWidth="1"/>
    <col min="2722" max="2722" width="24.5703125" customWidth="1"/>
    <col min="2723" max="2723" width="34.7109375" customWidth="1"/>
    <col min="2724" max="2724" width="16.42578125" customWidth="1"/>
    <col min="2725" max="2725" width="16" bestFit="1" customWidth="1"/>
    <col min="2726" max="2726" width="29.140625" customWidth="1"/>
    <col min="2727" max="2727" width="15.7109375" customWidth="1"/>
    <col min="2728" max="2729" width="6.42578125" customWidth="1"/>
    <col min="2730" max="2730" width="24.5703125" customWidth="1"/>
    <col min="2731" max="2731" width="34.7109375" customWidth="1"/>
    <col min="2732" max="2732" width="16.42578125" customWidth="1"/>
    <col min="2733" max="2733" width="16" bestFit="1" customWidth="1"/>
    <col min="2734" max="2734" width="29.140625" customWidth="1"/>
    <col min="2735" max="2735" width="15.7109375" customWidth="1"/>
    <col min="2736" max="2737" width="6.42578125" customWidth="1"/>
    <col min="2738" max="2738" width="24.5703125" customWidth="1"/>
    <col min="2739" max="2739" width="34.7109375" customWidth="1"/>
    <col min="2740" max="2740" width="16.42578125" customWidth="1"/>
    <col min="2741" max="2741" width="16" bestFit="1" customWidth="1"/>
    <col min="2742" max="2742" width="29.140625" customWidth="1"/>
    <col min="2743" max="2743" width="15.7109375" customWidth="1"/>
    <col min="2744" max="2745" width="6.42578125" customWidth="1"/>
    <col min="2746" max="2746" width="24.5703125" customWidth="1"/>
    <col min="2747" max="2747" width="34.7109375" customWidth="1"/>
    <col min="2748" max="2748" width="16.42578125" customWidth="1"/>
    <col min="2749" max="2749" width="16" bestFit="1" customWidth="1"/>
    <col min="2750" max="2750" width="29.140625" customWidth="1"/>
    <col min="2751" max="2751" width="15.7109375" customWidth="1"/>
    <col min="2752" max="2753" width="6.42578125" customWidth="1"/>
    <col min="2754" max="2754" width="24.5703125" customWidth="1"/>
    <col min="2755" max="2755" width="34.7109375" customWidth="1"/>
    <col min="2756" max="2756" width="16.42578125" customWidth="1"/>
    <col min="2757" max="2757" width="16" bestFit="1" customWidth="1"/>
    <col min="2758" max="2758" width="29.140625" customWidth="1"/>
    <col min="2759" max="2759" width="15.7109375" customWidth="1"/>
    <col min="2760" max="2761" width="6.42578125" customWidth="1"/>
    <col min="2762" max="2762" width="24.5703125" customWidth="1"/>
    <col min="2763" max="2763" width="34.7109375" customWidth="1"/>
    <col min="2764" max="2764" width="16.42578125" customWidth="1"/>
    <col min="2765" max="2765" width="16" bestFit="1" customWidth="1"/>
    <col min="2766" max="2766" width="29.140625" customWidth="1"/>
    <col min="2767" max="2767" width="15.7109375" customWidth="1"/>
    <col min="2768" max="2769" width="6.42578125" customWidth="1"/>
    <col min="2770" max="2770" width="24.5703125" customWidth="1"/>
    <col min="2771" max="2771" width="34.7109375" customWidth="1"/>
    <col min="2772" max="2772" width="16.42578125" customWidth="1"/>
    <col min="2773" max="2773" width="16" bestFit="1" customWidth="1"/>
    <col min="2774" max="2774" width="29.140625" customWidth="1"/>
    <col min="2775" max="2775" width="15.7109375" customWidth="1"/>
    <col min="2776" max="2777" width="6.42578125" customWidth="1"/>
    <col min="2778" max="2778" width="24.5703125" customWidth="1"/>
    <col min="2779" max="2779" width="34.7109375" customWidth="1"/>
    <col min="2780" max="2780" width="16.42578125" customWidth="1"/>
    <col min="2781" max="2781" width="16" bestFit="1" customWidth="1"/>
    <col min="2782" max="2782" width="29.140625" customWidth="1"/>
    <col min="2783" max="2783" width="15.7109375" customWidth="1"/>
    <col min="2784" max="2785" width="6.42578125" customWidth="1"/>
    <col min="2786" max="2786" width="24.5703125" customWidth="1"/>
    <col min="2787" max="2787" width="34.7109375" customWidth="1"/>
    <col min="2788" max="2788" width="16.42578125" customWidth="1"/>
    <col min="2789" max="2789" width="16" bestFit="1" customWidth="1"/>
    <col min="2790" max="2790" width="29.140625" customWidth="1"/>
    <col min="2791" max="2791" width="15.7109375" customWidth="1"/>
    <col min="2792" max="2793" width="6.42578125" customWidth="1"/>
    <col min="2794" max="2794" width="24.5703125" customWidth="1"/>
    <col min="2795" max="2795" width="34.7109375" customWidth="1"/>
    <col min="2796" max="2796" width="16.42578125" customWidth="1"/>
    <col min="2797" max="2797" width="16" bestFit="1" customWidth="1"/>
    <col min="2798" max="2798" width="29.140625" customWidth="1"/>
    <col min="2799" max="2799" width="15.7109375" customWidth="1"/>
    <col min="2800" max="2801" width="6.42578125" customWidth="1"/>
    <col min="2802" max="2802" width="24.5703125" customWidth="1"/>
    <col min="2803" max="2803" width="34.7109375" customWidth="1"/>
    <col min="2804" max="2804" width="16.42578125" customWidth="1"/>
    <col min="2805" max="2805" width="16" bestFit="1" customWidth="1"/>
    <col min="2806" max="2806" width="29.140625" customWidth="1"/>
    <col min="2807" max="2807" width="15.7109375" customWidth="1"/>
    <col min="2808" max="2809" width="6.42578125" customWidth="1"/>
    <col min="2810" max="2810" width="24.5703125" customWidth="1"/>
    <col min="2811" max="2811" width="34.7109375" customWidth="1"/>
    <col min="2812" max="2812" width="16.42578125" customWidth="1"/>
    <col min="2813" max="2813" width="16" bestFit="1" customWidth="1"/>
    <col min="2814" max="2814" width="29.140625" customWidth="1"/>
    <col min="2815" max="2815" width="15.7109375" customWidth="1"/>
    <col min="2816" max="2817" width="6.42578125" customWidth="1"/>
    <col min="2818" max="2818" width="24.5703125" customWidth="1"/>
    <col min="2819" max="2819" width="34.7109375" customWidth="1"/>
    <col min="2820" max="2820" width="16.42578125" customWidth="1"/>
    <col min="2821" max="2821" width="16" bestFit="1" customWidth="1"/>
    <col min="2822" max="2822" width="29.140625" customWidth="1"/>
    <col min="2823" max="2823" width="15.7109375" customWidth="1"/>
    <col min="2824" max="2825" width="6.42578125" customWidth="1"/>
    <col min="2826" max="2826" width="24.5703125" customWidth="1"/>
    <col min="2827" max="2827" width="34.7109375" customWidth="1"/>
    <col min="2828" max="2828" width="16.42578125" customWidth="1"/>
    <col min="2829" max="2829" width="16" bestFit="1" customWidth="1"/>
    <col min="2830" max="2830" width="29.140625" customWidth="1"/>
    <col min="2831" max="2831" width="15.7109375" customWidth="1"/>
    <col min="2832" max="2833" width="6.42578125" customWidth="1"/>
    <col min="2834" max="2834" width="24.5703125" customWidth="1"/>
    <col min="2835" max="2835" width="34.7109375" customWidth="1"/>
    <col min="2836" max="2836" width="16.42578125" customWidth="1"/>
    <col min="2837" max="2837" width="16" bestFit="1" customWidth="1"/>
    <col min="2838" max="2838" width="29.140625" customWidth="1"/>
    <col min="2839" max="2839" width="15.7109375" customWidth="1"/>
    <col min="2840" max="2841" width="6.42578125" customWidth="1"/>
    <col min="2842" max="2842" width="24.5703125" customWidth="1"/>
    <col min="2843" max="2843" width="34.7109375" customWidth="1"/>
    <col min="2844" max="2844" width="16.42578125" customWidth="1"/>
    <col min="2845" max="2845" width="16" bestFit="1" customWidth="1"/>
    <col min="2846" max="2846" width="29.140625" customWidth="1"/>
    <col min="2847" max="2847" width="15.7109375" customWidth="1"/>
    <col min="2848" max="2849" width="6.42578125" customWidth="1"/>
    <col min="2850" max="2850" width="24.5703125" customWidth="1"/>
    <col min="2851" max="2851" width="34.7109375" customWidth="1"/>
    <col min="2852" max="2852" width="16.42578125" customWidth="1"/>
    <col min="2853" max="2853" width="16" bestFit="1" customWidth="1"/>
    <col min="2854" max="2854" width="29.140625" customWidth="1"/>
    <col min="2855" max="2855" width="15.7109375" customWidth="1"/>
    <col min="2856" max="2857" width="6.42578125" customWidth="1"/>
    <col min="2858" max="2858" width="24.5703125" customWidth="1"/>
    <col min="2859" max="2859" width="34.7109375" customWidth="1"/>
    <col min="2860" max="2860" width="16.42578125" customWidth="1"/>
    <col min="2861" max="2861" width="16" bestFit="1" customWidth="1"/>
    <col min="2862" max="2862" width="29.140625" customWidth="1"/>
    <col min="2863" max="2863" width="15.7109375" customWidth="1"/>
    <col min="2864" max="2865" width="6.42578125" customWidth="1"/>
    <col min="2866" max="2866" width="24.5703125" customWidth="1"/>
    <col min="2867" max="2867" width="34.7109375" customWidth="1"/>
    <col min="2868" max="2868" width="16.42578125" customWidth="1"/>
    <col min="2869" max="2869" width="16" bestFit="1" customWidth="1"/>
    <col min="2870" max="2870" width="29.140625" customWidth="1"/>
    <col min="2871" max="2871" width="15.7109375" customWidth="1"/>
    <col min="2872" max="2873" width="6.42578125" customWidth="1"/>
    <col min="2874" max="2874" width="24.5703125" customWidth="1"/>
    <col min="2875" max="2875" width="34.7109375" customWidth="1"/>
    <col min="2876" max="2876" width="16.42578125" customWidth="1"/>
    <col min="2877" max="2877" width="16" bestFit="1" customWidth="1"/>
    <col min="2878" max="2878" width="29.140625" customWidth="1"/>
    <col min="2879" max="2879" width="15.7109375" customWidth="1"/>
    <col min="2880" max="2881" width="6.42578125" customWidth="1"/>
    <col min="2882" max="2882" width="24.5703125" customWidth="1"/>
    <col min="2883" max="2883" width="34.7109375" customWidth="1"/>
    <col min="2884" max="2884" width="16.42578125" customWidth="1"/>
    <col min="2885" max="2885" width="16" bestFit="1" customWidth="1"/>
    <col min="2886" max="2886" width="29.140625" customWidth="1"/>
    <col min="2887" max="2887" width="15.7109375" customWidth="1"/>
    <col min="2888" max="2889" width="6.42578125" customWidth="1"/>
    <col min="2890" max="2890" width="24.5703125" customWidth="1"/>
    <col min="2891" max="2891" width="34.7109375" customWidth="1"/>
    <col min="2892" max="2892" width="16.42578125" customWidth="1"/>
    <col min="2893" max="2893" width="16" bestFit="1" customWidth="1"/>
    <col min="2894" max="2894" width="29.140625" customWidth="1"/>
    <col min="2895" max="2895" width="15.7109375" customWidth="1"/>
    <col min="2896" max="2897" width="6.42578125" customWidth="1"/>
    <col min="2898" max="2898" width="24.5703125" customWidth="1"/>
    <col min="2899" max="2899" width="34.7109375" customWidth="1"/>
    <col min="2900" max="2900" width="16.42578125" customWidth="1"/>
    <col min="2901" max="2901" width="16" bestFit="1" customWidth="1"/>
    <col min="2902" max="2902" width="29.140625" customWidth="1"/>
    <col min="2903" max="2903" width="15.7109375" customWidth="1"/>
    <col min="2904" max="2905" width="6.42578125" customWidth="1"/>
    <col min="2906" max="2906" width="24.5703125" customWidth="1"/>
    <col min="2907" max="2907" width="34.7109375" customWidth="1"/>
    <col min="2908" max="2908" width="16.42578125" customWidth="1"/>
    <col min="2909" max="2909" width="16" bestFit="1" customWidth="1"/>
    <col min="2910" max="2910" width="29.140625" customWidth="1"/>
    <col min="2911" max="2911" width="15.7109375" customWidth="1"/>
    <col min="2912" max="2913" width="6.42578125" customWidth="1"/>
    <col min="2914" max="2914" width="24.5703125" customWidth="1"/>
    <col min="2915" max="2915" width="34.7109375" customWidth="1"/>
    <col min="2916" max="2916" width="16.42578125" customWidth="1"/>
    <col min="2917" max="2917" width="16" bestFit="1" customWidth="1"/>
    <col min="2918" max="2918" width="29.140625" customWidth="1"/>
    <col min="2919" max="2919" width="15.7109375" customWidth="1"/>
    <col min="2920" max="2921" width="6.42578125" customWidth="1"/>
    <col min="2922" max="2922" width="24.5703125" customWidth="1"/>
    <col min="2923" max="2923" width="34.7109375" customWidth="1"/>
    <col min="2924" max="2924" width="16.42578125" customWidth="1"/>
    <col min="2925" max="2925" width="16" bestFit="1" customWidth="1"/>
    <col min="2926" max="2926" width="29.140625" customWidth="1"/>
    <col min="2927" max="2927" width="15.7109375" customWidth="1"/>
    <col min="2928" max="2929" width="6.42578125" customWidth="1"/>
    <col min="2930" max="2930" width="24.5703125" customWidth="1"/>
    <col min="2931" max="2931" width="34.7109375" customWidth="1"/>
    <col min="2932" max="2932" width="16.42578125" customWidth="1"/>
    <col min="2933" max="2933" width="16" bestFit="1" customWidth="1"/>
    <col min="2934" max="2934" width="29.140625" customWidth="1"/>
    <col min="2935" max="2935" width="15.7109375" customWidth="1"/>
    <col min="2936" max="2937" width="6.42578125" customWidth="1"/>
    <col min="2938" max="2938" width="24.5703125" customWidth="1"/>
    <col min="2939" max="2939" width="34.7109375" customWidth="1"/>
    <col min="2940" max="2940" width="16.42578125" customWidth="1"/>
    <col min="2941" max="2941" width="16" bestFit="1" customWidth="1"/>
    <col min="2942" max="2942" width="29.140625" customWidth="1"/>
    <col min="2943" max="2943" width="15.7109375" customWidth="1"/>
    <col min="2944" max="2945" width="6.42578125" customWidth="1"/>
    <col min="2946" max="2946" width="24.5703125" customWidth="1"/>
    <col min="2947" max="2947" width="34.7109375" customWidth="1"/>
    <col min="2948" max="2948" width="16.42578125" customWidth="1"/>
    <col min="2949" max="2949" width="16" bestFit="1" customWidth="1"/>
    <col min="2950" max="2950" width="29.140625" customWidth="1"/>
    <col min="2951" max="2951" width="15.7109375" customWidth="1"/>
    <col min="2952" max="2953" width="6.42578125" customWidth="1"/>
    <col min="2954" max="2954" width="24.5703125" customWidth="1"/>
    <col min="2955" max="2955" width="34.7109375" customWidth="1"/>
    <col min="2956" max="2956" width="16.42578125" customWidth="1"/>
    <col min="2957" max="2957" width="16" bestFit="1" customWidth="1"/>
    <col min="2958" max="2958" width="29.140625" customWidth="1"/>
    <col min="2959" max="2959" width="15.7109375" customWidth="1"/>
    <col min="2960" max="2961" width="6.42578125" customWidth="1"/>
    <col min="2962" max="2962" width="24.5703125" customWidth="1"/>
    <col min="2963" max="2963" width="34.7109375" customWidth="1"/>
    <col min="2964" max="2964" width="16.42578125" customWidth="1"/>
    <col min="2965" max="2965" width="16" bestFit="1" customWidth="1"/>
    <col min="2966" max="2966" width="29.140625" customWidth="1"/>
    <col min="2967" max="2967" width="15.7109375" customWidth="1"/>
    <col min="2968" max="2969" width="6.42578125" customWidth="1"/>
    <col min="2970" max="2970" width="24.5703125" customWidth="1"/>
    <col min="2971" max="2971" width="34.7109375" customWidth="1"/>
    <col min="2972" max="2972" width="16.42578125" customWidth="1"/>
    <col min="2973" max="2973" width="16" bestFit="1" customWidth="1"/>
    <col min="2974" max="2974" width="29.140625" customWidth="1"/>
    <col min="2975" max="2975" width="15.7109375" customWidth="1"/>
    <col min="2976" max="2977" width="6.42578125" customWidth="1"/>
    <col min="2978" max="2978" width="24.5703125" customWidth="1"/>
    <col min="2979" max="2979" width="34.7109375" customWidth="1"/>
    <col min="2980" max="2980" width="16.42578125" customWidth="1"/>
    <col min="2981" max="2981" width="16" bestFit="1" customWidth="1"/>
    <col min="2982" max="2982" width="29.140625" customWidth="1"/>
    <col min="2983" max="2983" width="15.7109375" customWidth="1"/>
    <col min="2984" max="2985" width="6.42578125" customWidth="1"/>
    <col min="2986" max="2986" width="24.5703125" customWidth="1"/>
    <col min="2987" max="2987" width="34.7109375" customWidth="1"/>
    <col min="2988" max="2988" width="16.42578125" customWidth="1"/>
    <col min="2989" max="2989" width="16" bestFit="1" customWidth="1"/>
    <col min="2990" max="2990" width="29.140625" customWidth="1"/>
    <col min="2991" max="2991" width="15.7109375" customWidth="1"/>
    <col min="2992" max="2993" width="6.42578125" customWidth="1"/>
    <col min="2994" max="2994" width="24.5703125" customWidth="1"/>
    <col min="2995" max="2995" width="34.7109375" customWidth="1"/>
    <col min="2996" max="2996" width="16.42578125" customWidth="1"/>
    <col min="2997" max="2997" width="16" bestFit="1" customWidth="1"/>
    <col min="2998" max="2998" width="29.140625" customWidth="1"/>
    <col min="2999" max="2999" width="15.7109375" customWidth="1"/>
    <col min="3000" max="3001" width="6.42578125" customWidth="1"/>
    <col min="3002" max="3002" width="24.5703125" customWidth="1"/>
    <col min="3003" max="3003" width="34.7109375" customWidth="1"/>
    <col min="3004" max="3004" width="16.42578125" customWidth="1"/>
    <col min="3005" max="3005" width="16" bestFit="1" customWidth="1"/>
    <col min="3006" max="3006" width="29.140625" customWidth="1"/>
    <col min="3007" max="3007" width="15.7109375" customWidth="1"/>
    <col min="3008" max="3009" width="6.42578125" customWidth="1"/>
    <col min="3010" max="3010" width="24.5703125" customWidth="1"/>
    <col min="3011" max="3011" width="34.7109375" customWidth="1"/>
    <col min="3012" max="3012" width="16.42578125" customWidth="1"/>
    <col min="3013" max="3013" width="16" bestFit="1" customWidth="1"/>
    <col min="3014" max="3014" width="29.140625" customWidth="1"/>
    <col min="3015" max="3015" width="15.7109375" customWidth="1"/>
    <col min="3016" max="3017" width="6.42578125" customWidth="1"/>
    <col min="3018" max="3018" width="24.5703125" customWidth="1"/>
    <col min="3019" max="3019" width="34.7109375" customWidth="1"/>
    <col min="3020" max="3020" width="16.42578125" customWidth="1"/>
    <col min="3021" max="3021" width="16" bestFit="1" customWidth="1"/>
    <col min="3022" max="3022" width="29.140625" customWidth="1"/>
    <col min="3023" max="3023" width="15.7109375" customWidth="1"/>
    <col min="3024" max="3025" width="6.42578125" customWidth="1"/>
    <col min="3026" max="3026" width="24.5703125" customWidth="1"/>
    <col min="3027" max="3027" width="34.7109375" customWidth="1"/>
    <col min="3028" max="3028" width="16.42578125" customWidth="1"/>
    <col min="3029" max="3029" width="16" bestFit="1" customWidth="1"/>
    <col min="3030" max="3030" width="29.140625" customWidth="1"/>
    <col min="3031" max="3031" width="15.7109375" customWidth="1"/>
    <col min="3032" max="3033" width="6.42578125" customWidth="1"/>
    <col min="3034" max="3034" width="24.5703125" customWidth="1"/>
    <col min="3035" max="3035" width="34.7109375" customWidth="1"/>
    <col min="3036" max="3036" width="16.42578125" customWidth="1"/>
    <col min="3037" max="3037" width="16" bestFit="1" customWidth="1"/>
    <col min="3038" max="3038" width="29.140625" customWidth="1"/>
    <col min="3039" max="3039" width="15.7109375" customWidth="1"/>
    <col min="3040" max="3041" width="6.42578125" customWidth="1"/>
    <col min="3042" max="3042" width="24.5703125" customWidth="1"/>
    <col min="3043" max="3043" width="34.7109375" customWidth="1"/>
    <col min="3044" max="3044" width="16.42578125" customWidth="1"/>
    <col min="3045" max="3045" width="16" bestFit="1" customWidth="1"/>
    <col min="3046" max="3046" width="29.140625" customWidth="1"/>
    <col min="3047" max="3047" width="15.7109375" customWidth="1"/>
    <col min="3048" max="3049" width="6.42578125" customWidth="1"/>
    <col min="3050" max="3050" width="24.5703125" customWidth="1"/>
    <col min="3051" max="3051" width="34.7109375" customWidth="1"/>
    <col min="3052" max="3052" width="16.42578125" customWidth="1"/>
    <col min="3053" max="3053" width="16" bestFit="1" customWidth="1"/>
    <col min="3054" max="3054" width="29.140625" customWidth="1"/>
    <col min="3055" max="3055" width="15.7109375" customWidth="1"/>
    <col min="3056" max="3057" width="6.42578125" customWidth="1"/>
    <col min="3058" max="3058" width="24.5703125" customWidth="1"/>
    <col min="3059" max="3059" width="34.7109375" customWidth="1"/>
    <col min="3060" max="3060" width="16.42578125" customWidth="1"/>
    <col min="3061" max="3061" width="16" bestFit="1" customWidth="1"/>
    <col min="3062" max="3062" width="29.140625" customWidth="1"/>
    <col min="3063" max="3063" width="15.7109375" customWidth="1"/>
    <col min="3064" max="3065" width="6.42578125" customWidth="1"/>
    <col min="3066" max="3066" width="24.5703125" customWidth="1"/>
    <col min="3067" max="3067" width="34.7109375" customWidth="1"/>
    <col min="3068" max="3068" width="16.42578125" customWidth="1"/>
    <col min="3069" max="3069" width="16" bestFit="1" customWidth="1"/>
    <col min="3070" max="3070" width="29.140625" customWidth="1"/>
    <col min="3071" max="3071" width="15.7109375" customWidth="1"/>
    <col min="3072" max="3073" width="6.42578125" customWidth="1"/>
    <col min="3074" max="3074" width="24.5703125" customWidth="1"/>
    <col min="3075" max="3075" width="34.7109375" customWidth="1"/>
    <col min="3076" max="3076" width="16.42578125" customWidth="1"/>
    <col min="3077" max="3077" width="16" bestFit="1" customWidth="1"/>
    <col min="3078" max="3078" width="29.140625" customWidth="1"/>
    <col min="3079" max="3079" width="15.7109375" customWidth="1"/>
    <col min="3080" max="3081" width="6.42578125" customWidth="1"/>
    <col min="3082" max="3082" width="24.5703125" customWidth="1"/>
    <col min="3083" max="3083" width="34.7109375" customWidth="1"/>
    <col min="3084" max="3084" width="16.42578125" customWidth="1"/>
    <col min="3085" max="3085" width="16" bestFit="1" customWidth="1"/>
    <col min="3086" max="3086" width="29.140625" customWidth="1"/>
    <col min="3087" max="3087" width="15.7109375" customWidth="1"/>
    <col min="3088" max="3089" width="6.42578125" customWidth="1"/>
    <col min="3090" max="3090" width="24.5703125" customWidth="1"/>
    <col min="3091" max="3091" width="34.7109375" customWidth="1"/>
    <col min="3092" max="3092" width="16.42578125" customWidth="1"/>
    <col min="3093" max="3093" width="16" bestFit="1" customWidth="1"/>
    <col min="3094" max="3094" width="29.140625" customWidth="1"/>
    <col min="3095" max="3095" width="15.7109375" customWidth="1"/>
    <col min="3096" max="3097" width="6.42578125" customWidth="1"/>
    <col min="3098" max="3098" width="24.5703125" customWidth="1"/>
    <col min="3099" max="3099" width="34.7109375" customWidth="1"/>
    <col min="3100" max="3100" width="16.42578125" customWidth="1"/>
    <col min="3101" max="3101" width="16" bestFit="1" customWidth="1"/>
    <col min="3102" max="3102" width="29.140625" customWidth="1"/>
    <col min="3103" max="3103" width="15.7109375" customWidth="1"/>
    <col min="3104" max="3105" width="6.42578125" customWidth="1"/>
    <col min="3106" max="3106" width="24.5703125" customWidth="1"/>
    <col min="3107" max="3107" width="34.7109375" customWidth="1"/>
    <col min="3108" max="3108" width="16.42578125" customWidth="1"/>
    <col min="3109" max="3109" width="16" bestFit="1" customWidth="1"/>
    <col min="3110" max="3110" width="29.140625" customWidth="1"/>
    <col min="3111" max="3111" width="15.7109375" customWidth="1"/>
    <col min="3112" max="3113" width="6.42578125" customWidth="1"/>
    <col min="3114" max="3114" width="24.5703125" customWidth="1"/>
    <col min="3115" max="3115" width="34.7109375" customWidth="1"/>
    <col min="3116" max="3116" width="16.42578125" customWidth="1"/>
    <col min="3117" max="3117" width="16" bestFit="1" customWidth="1"/>
    <col min="3118" max="3118" width="29.140625" customWidth="1"/>
    <col min="3119" max="3119" width="15.7109375" customWidth="1"/>
    <col min="3120" max="3121" width="6.42578125" customWidth="1"/>
    <col min="3122" max="3122" width="24.5703125" customWidth="1"/>
    <col min="3123" max="3123" width="34.7109375" customWidth="1"/>
    <col min="3124" max="3124" width="16.42578125" customWidth="1"/>
    <col min="3125" max="3125" width="16" bestFit="1" customWidth="1"/>
    <col min="3126" max="3126" width="29.140625" customWidth="1"/>
    <col min="3127" max="3127" width="15.7109375" customWidth="1"/>
    <col min="3128" max="3129" width="6.42578125" customWidth="1"/>
    <col min="3130" max="3130" width="24.5703125" customWidth="1"/>
    <col min="3131" max="3131" width="34.7109375" customWidth="1"/>
    <col min="3132" max="3132" width="16.42578125" customWidth="1"/>
    <col min="3133" max="3133" width="16" bestFit="1" customWidth="1"/>
    <col min="3134" max="3134" width="29.140625" customWidth="1"/>
    <col min="3135" max="3135" width="15.7109375" customWidth="1"/>
    <col min="3136" max="3137" width="6.42578125" customWidth="1"/>
    <col min="3138" max="3138" width="24.5703125" customWidth="1"/>
    <col min="3139" max="3139" width="34.7109375" customWidth="1"/>
    <col min="3140" max="3140" width="16.42578125" customWidth="1"/>
    <col min="3141" max="3141" width="16" bestFit="1" customWidth="1"/>
    <col min="3142" max="3142" width="29.140625" customWidth="1"/>
    <col min="3143" max="3143" width="15.7109375" customWidth="1"/>
    <col min="3144" max="3145" width="6.42578125" customWidth="1"/>
    <col min="3146" max="3146" width="24.5703125" customWidth="1"/>
    <col min="3147" max="3147" width="34.7109375" customWidth="1"/>
    <col min="3148" max="3148" width="16.42578125" customWidth="1"/>
    <col min="3149" max="3149" width="16" bestFit="1" customWidth="1"/>
    <col min="3150" max="3150" width="29.140625" customWidth="1"/>
    <col min="3151" max="3151" width="15.7109375" customWidth="1"/>
    <col min="3152" max="3153" width="6.42578125" customWidth="1"/>
    <col min="3154" max="3154" width="24.5703125" customWidth="1"/>
    <col min="3155" max="3155" width="34.7109375" customWidth="1"/>
    <col min="3156" max="3156" width="16.42578125" customWidth="1"/>
    <col min="3157" max="3157" width="16" bestFit="1" customWidth="1"/>
    <col min="3158" max="3158" width="29.140625" customWidth="1"/>
    <col min="3159" max="3159" width="15.7109375" customWidth="1"/>
    <col min="3160" max="3161" width="6.42578125" customWidth="1"/>
    <col min="3162" max="3162" width="24.5703125" customWidth="1"/>
    <col min="3163" max="3163" width="34.7109375" customWidth="1"/>
    <col min="3164" max="3164" width="16.42578125" customWidth="1"/>
    <col min="3165" max="3165" width="16" bestFit="1" customWidth="1"/>
    <col min="3166" max="3166" width="29.140625" customWidth="1"/>
    <col min="3167" max="3167" width="15.7109375" customWidth="1"/>
    <col min="3168" max="3169" width="6.42578125" customWidth="1"/>
    <col min="3170" max="3170" width="24.5703125" customWidth="1"/>
    <col min="3171" max="3171" width="34.7109375" customWidth="1"/>
    <col min="3172" max="3172" width="16.42578125" customWidth="1"/>
    <col min="3173" max="3173" width="16" bestFit="1" customWidth="1"/>
    <col min="3174" max="3174" width="29.140625" customWidth="1"/>
    <col min="3175" max="3175" width="15.7109375" customWidth="1"/>
    <col min="3176" max="3177" width="6.42578125" customWidth="1"/>
    <col min="3178" max="3178" width="24.5703125" customWidth="1"/>
    <col min="3179" max="3179" width="34.7109375" customWidth="1"/>
    <col min="3180" max="3180" width="16.42578125" customWidth="1"/>
    <col min="3181" max="3181" width="16" bestFit="1" customWidth="1"/>
    <col min="3182" max="3182" width="29.140625" customWidth="1"/>
    <col min="3183" max="3183" width="15.7109375" customWidth="1"/>
    <col min="3184" max="3185" width="6.42578125" customWidth="1"/>
    <col min="3186" max="3186" width="24.5703125" customWidth="1"/>
    <col min="3187" max="3187" width="34.7109375" customWidth="1"/>
    <col min="3188" max="3188" width="16.42578125" customWidth="1"/>
    <col min="3189" max="3189" width="16" bestFit="1" customWidth="1"/>
    <col min="3190" max="3190" width="29.140625" customWidth="1"/>
    <col min="3191" max="3191" width="15.7109375" customWidth="1"/>
    <col min="3192" max="3193" width="6.42578125" customWidth="1"/>
    <col min="3194" max="3194" width="24.5703125" customWidth="1"/>
    <col min="3195" max="3195" width="34.7109375" customWidth="1"/>
    <col min="3196" max="3196" width="16.42578125" customWidth="1"/>
    <col min="3197" max="3197" width="16" bestFit="1" customWidth="1"/>
    <col min="3198" max="3198" width="29.140625" customWidth="1"/>
    <col min="3199" max="3199" width="15.7109375" customWidth="1"/>
    <col min="3200" max="3201" width="6.42578125" customWidth="1"/>
    <col min="3202" max="3202" width="24.5703125" customWidth="1"/>
    <col min="3203" max="3203" width="34.7109375" customWidth="1"/>
    <col min="3204" max="3204" width="16.42578125" customWidth="1"/>
    <col min="3205" max="3205" width="16" bestFit="1" customWidth="1"/>
    <col min="3206" max="3206" width="29.140625" customWidth="1"/>
    <col min="3207" max="3207" width="15.7109375" customWidth="1"/>
    <col min="3208" max="3209" width="6.42578125" customWidth="1"/>
    <col min="3210" max="3210" width="24.5703125" customWidth="1"/>
    <col min="3211" max="3211" width="34.7109375" customWidth="1"/>
    <col min="3212" max="3212" width="16.42578125" customWidth="1"/>
    <col min="3213" max="3213" width="16" bestFit="1" customWidth="1"/>
    <col min="3214" max="3214" width="29.140625" customWidth="1"/>
    <col min="3215" max="3215" width="15.7109375" customWidth="1"/>
    <col min="3216" max="3217" width="6.42578125" customWidth="1"/>
    <col min="3218" max="3218" width="24.5703125" customWidth="1"/>
    <col min="3219" max="3219" width="34.7109375" customWidth="1"/>
    <col min="3220" max="3220" width="16.42578125" customWidth="1"/>
    <col min="3221" max="3221" width="16" bestFit="1" customWidth="1"/>
    <col min="3222" max="3222" width="29.140625" customWidth="1"/>
    <col min="3223" max="3223" width="15.7109375" customWidth="1"/>
    <col min="3224" max="3225" width="6.42578125" customWidth="1"/>
    <col min="3226" max="3226" width="24.5703125" customWidth="1"/>
    <col min="3227" max="3227" width="34.7109375" customWidth="1"/>
    <col min="3228" max="3228" width="16.42578125" customWidth="1"/>
    <col min="3229" max="3229" width="16" bestFit="1" customWidth="1"/>
    <col min="3230" max="3230" width="29.140625" customWidth="1"/>
    <col min="3231" max="3231" width="15.7109375" customWidth="1"/>
    <col min="3232" max="3233" width="6.42578125" customWidth="1"/>
    <col min="3234" max="3234" width="24.5703125" customWidth="1"/>
    <col min="3235" max="3235" width="34.7109375" customWidth="1"/>
    <col min="3236" max="3236" width="16.42578125" customWidth="1"/>
    <col min="3237" max="3237" width="16" bestFit="1" customWidth="1"/>
    <col min="3238" max="3238" width="29.140625" customWidth="1"/>
    <col min="3239" max="3239" width="15.7109375" customWidth="1"/>
    <col min="3240" max="3241" width="6.42578125" customWidth="1"/>
    <col min="3242" max="3242" width="24.5703125" customWidth="1"/>
    <col min="3243" max="3243" width="34.7109375" customWidth="1"/>
    <col min="3244" max="3244" width="16.42578125" customWidth="1"/>
    <col min="3245" max="3245" width="16" bestFit="1" customWidth="1"/>
    <col min="3246" max="3246" width="29.140625" customWidth="1"/>
    <col min="3247" max="3247" width="15.7109375" customWidth="1"/>
    <col min="3248" max="3249" width="6.42578125" customWidth="1"/>
    <col min="3250" max="3250" width="24.5703125" customWidth="1"/>
    <col min="3251" max="3251" width="34.7109375" customWidth="1"/>
    <col min="3252" max="3252" width="16.42578125" customWidth="1"/>
    <col min="3253" max="3253" width="16" bestFit="1" customWidth="1"/>
    <col min="3254" max="3254" width="29.140625" customWidth="1"/>
    <col min="3255" max="3255" width="15.7109375" customWidth="1"/>
    <col min="3256" max="3257" width="6.42578125" customWidth="1"/>
    <col min="3258" max="3258" width="24.5703125" customWidth="1"/>
    <col min="3259" max="3259" width="34.7109375" customWidth="1"/>
    <col min="3260" max="3260" width="16.42578125" customWidth="1"/>
    <col min="3261" max="3261" width="16" bestFit="1" customWidth="1"/>
    <col min="3262" max="3262" width="29.140625" customWidth="1"/>
    <col min="3263" max="3263" width="15.7109375" customWidth="1"/>
    <col min="3264" max="3265" width="6.42578125" customWidth="1"/>
    <col min="3266" max="3266" width="24.5703125" customWidth="1"/>
    <col min="3267" max="3267" width="34.7109375" customWidth="1"/>
    <col min="3268" max="3268" width="16.42578125" customWidth="1"/>
    <col min="3269" max="3269" width="16" bestFit="1" customWidth="1"/>
    <col min="3270" max="3270" width="29.140625" customWidth="1"/>
    <col min="3271" max="3271" width="15.7109375" customWidth="1"/>
    <col min="3272" max="3273" width="6.42578125" customWidth="1"/>
    <col min="3274" max="3274" width="24.5703125" customWidth="1"/>
    <col min="3275" max="3275" width="34.7109375" customWidth="1"/>
    <col min="3276" max="3276" width="16.42578125" customWidth="1"/>
    <col min="3277" max="3277" width="16" bestFit="1" customWidth="1"/>
    <col min="3278" max="3278" width="29.140625" customWidth="1"/>
    <col min="3279" max="3279" width="15.7109375" customWidth="1"/>
    <col min="3280" max="3281" width="6.42578125" customWidth="1"/>
    <col min="3282" max="3282" width="24.5703125" customWidth="1"/>
    <col min="3283" max="3283" width="34.7109375" customWidth="1"/>
    <col min="3284" max="3284" width="16.42578125" customWidth="1"/>
    <col min="3285" max="3285" width="16" bestFit="1" customWidth="1"/>
    <col min="3286" max="3286" width="29.140625" customWidth="1"/>
    <col min="3287" max="3287" width="15.7109375" customWidth="1"/>
    <col min="3288" max="3289" width="6.42578125" customWidth="1"/>
    <col min="3290" max="3290" width="24.5703125" customWidth="1"/>
    <col min="3291" max="3291" width="34.7109375" customWidth="1"/>
    <col min="3292" max="3292" width="16.42578125" customWidth="1"/>
    <col min="3293" max="3293" width="16" bestFit="1" customWidth="1"/>
    <col min="3294" max="3294" width="29.140625" customWidth="1"/>
    <col min="3295" max="3295" width="15.7109375" customWidth="1"/>
    <col min="3296" max="3297" width="6.42578125" customWidth="1"/>
    <col min="3298" max="3298" width="24.5703125" customWidth="1"/>
    <col min="3299" max="3299" width="34.7109375" customWidth="1"/>
    <col min="3300" max="3300" width="16.42578125" customWidth="1"/>
    <col min="3301" max="3301" width="16" bestFit="1" customWidth="1"/>
    <col min="3302" max="3302" width="29.140625" customWidth="1"/>
    <col min="3303" max="3303" width="15.7109375" customWidth="1"/>
    <col min="3304" max="3305" width="6.42578125" customWidth="1"/>
    <col min="3306" max="3306" width="24.5703125" customWidth="1"/>
    <col min="3307" max="3307" width="34.7109375" customWidth="1"/>
    <col min="3308" max="3308" width="16.42578125" customWidth="1"/>
    <col min="3309" max="3309" width="16" bestFit="1" customWidth="1"/>
    <col min="3310" max="3310" width="29.140625" customWidth="1"/>
    <col min="3311" max="3311" width="15.7109375" customWidth="1"/>
    <col min="3312" max="3313" width="6.42578125" customWidth="1"/>
    <col min="3314" max="3314" width="24.5703125" customWidth="1"/>
    <col min="3315" max="3315" width="34.7109375" customWidth="1"/>
    <col min="3316" max="3316" width="16.42578125" customWidth="1"/>
    <col min="3317" max="3317" width="16" bestFit="1" customWidth="1"/>
    <col min="3318" max="3318" width="29.140625" customWidth="1"/>
    <col min="3319" max="3319" width="15.7109375" customWidth="1"/>
    <col min="3320" max="3321" width="6.42578125" customWidth="1"/>
    <col min="3322" max="3322" width="24.5703125" customWidth="1"/>
    <col min="3323" max="3323" width="34.7109375" customWidth="1"/>
    <col min="3324" max="3324" width="16.42578125" customWidth="1"/>
    <col min="3325" max="3325" width="16" bestFit="1" customWidth="1"/>
    <col min="3326" max="3326" width="29.140625" customWidth="1"/>
    <col min="3327" max="3327" width="15.7109375" customWidth="1"/>
    <col min="3328" max="3329" width="6.42578125" customWidth="1"/>
    <col min="3330" max="3330" width="24.5703125" customWidth="1"/>
    <col min="3331" max="3331" width="34.7109375" customWidth="1"/>
    <col min="3332" max="3332" width="16.42578125" customWidth="1"/>
    <col min="3333" max="3333" width="16" bestFit="1" customWidth="1"/>
    <col min="3334" max="3334" width="29.140625" customWidth="1"/>
    <col min="3335" max="3335" width="15.7109375" customWidth="1"/>
    <col min="3336" max="3337" width="6.42578125" customWidth="1"/>
    <col min="3338" max="3338" width="24.5703125" customWidth="1"/>
    <col min="3339" max="3339" width="34.7109375" customWidth="1"/>
    <col min="3340" max="3340" width="16.42578125" customWidth="1"/>
    <col min="3341" max="3341" width="16" bestFit="1" customWidth="1"/>
    <col min="3342" max="3342" width="29.140625" customWidth="1"/>
    <col min="3343" max="3343" width="15.7109375" customWidth="1"/>
    <col min="3344" max="3345" width="6.42578125" customWidth="1"/>
    <col min="3346" max="3346" width="24.5703125" customWidth="1"/>
    <col min="3347" max="3347" width="34.7109375" customWidth="1"/>
    <col min="3348" max="3348" width="16.42578125" customWidth="1"/>
    <col min="3349" max="3349" width="16" bestFit="1" customWidth="1"/>
    <col min="3350" max="3350" width="29.140625" customWidth="1"/>
    <col min="3351" max="3351" width="15.7109375" customWidth="1"/>
    <col min="3352" max="3353" width="6.42578125" customWidth="1"/>
    <col min="3354" max="3354" width="24.5703125" customWidth="1"/>
    <col min="3355" max="3355" width="34.7109375" customWidth="1"/>
    <col min="3356" max="3356" width="16.42578125" customWidth="1"/>
    <col min="3357" max="3357" width="16" bestFit="1" customWidth="1"/>
    <col min="3358" max="3358" width="29.140625" customWidth="1"/>
    <col min="3359" max="3359" width="15.7109375" customWidth="1"/>
    <col min="3360" max="3361" width="6.42578125" customWidth="1"/>
    <col min="3362" max="3362" width="24.5703125" customWidth="1"/>
    <col min="3363" max="3363" width="34.7109375" customWidth="1"/>
    <col min="3364" max="3364" width="16.42578125" customWidth="1"/>
    <col min="3365" max="3365" width="16" bestFit="1" customWidth="1"/>
    <col min="3366" max="3366" width="29.140625" customWidth="1"/>
    <col min="3367" max="3367" width="15.7109375" customWidth="1"/>
    <col min="3368" max="3369" width="6.42578125" customWidth="1"/>
    <col min="3370" max="3370" width="24.5703125" customWidth="1"/>
    <col min="3371" max="3371" width="34.7109375" customWidth="1"/>
    <col min="3372" max="3372" width="16.42578125" customWidth="1"/>
    <col min="3373" max="3373" width="16" bestFit="1" customWidth="1"/>
    <col min="3374" max="3374" width="29.140625" customWidth="1"/>
    <col min="3375" max="3375" width="15.7109375" customWidth="1"/>
    <col min="3376" max="3377" width="6.42578125" customWidth="1"/>
    <col min="3378" max="3378" width="24.5703125" customWidth="1"/>
    <col min="3379" max="3379" width="34.7109375" customWidth="1"/>
    <col min="3380" max="3380" width="16.42578125" customWidth="1"/>
    <col min="3381" max="3381" width="16" bestFit="1" customWidth="1"/>
    <col min="3382" max="3382" width="29.140625" customWidth="1"/>
    <col min="3383" max="3383" width="15.7109375" customWidth="1"/>
    <col min="3384" max="3385" width="6.42578125" customWidth="1"/>
    <col min="3386" max="3386" width="24.5703125" customWidth="1"/>
    <col min="3387" max="3387" width="34.7109375" customWidth="1"/>
    <col min="3388" max="3388" width="16.42578125" customWidth="1"/>
    <col min="3389" max="3389" width="16" bestFit="1" customWidth="1"/>
    <col min="3390" max="3390" width="29.140625" customWidth="1"/>
    <col min="3391" max="3391" width="15.7109375" customWidth="1"/>
    <col min="3392" max="3393" width="6.42578125" customWidth="1"/>
    <col min="3394" max="3394" width="24.5703125" customWidth="1"/>
    <col min="3395" max="3395" width="34.7109375" customWidth="1"/>
    <col min="3396" max="3396" width="16.42578125" customWidth="1"/>
    <col min="3397" max="3397" width="16" bestFit="1" customWidth="1"/>
    <col min="3398" max="3398" width="29.140625" customWidth="1"/>
    <col min="3399" max="3399" width="15.7109375" customWidth="1"/>
    <col min="3400" max="3401" width="6.42578125" customWidth="1"/>
    <col min="3402" max="3402" width="24.5703125" customWidth="1"/>
    <col min="3403" max="3403" width="34.7109375" customWidth="1"/>
    <col min="3404" max="3404" width="16.42578125" customWidth="1"/>
    <col min="3405" max="3405" width="16" bestFit="1" customWidth="1"/>
    <col min="3406" max="3406" width="29.140625" customWidth="1"/>
    <col min="3407" max="3407" width="15.7109375" customWidth="1"/>
    <col min="3408" max="3409" width="6.42578125" customWidth="1"/>
    <col min="3410" max="3410" width="24.5703125" customWidth="1"/>
    <col min="3411" max="3411" width="34.7109375" customWidth="1"/>
    <col min="3412" max="3412" width="16.42578125" customWidth="1"/>
    <col min="3413" max="3413" width="16" bestFit="1" customWidth="1"/>
    <col min="3414" max="3414" width="29.140625" customWidth="1"/>
    <col min="3415" max="3415" width="15.7109375" customWidth="1"/>
    <col min="3416" max="3417" width="6.42578125" customWidth="1"/>
    <col min="3418" max="3418" width="24.5703125" customWidth="1"/>
    <col min="3419" max="3419" width="34.7109375" customWidth="1"/>
    <col min="3420" max="3420" width="16.42578125" customWidth="1"/>
    <col min="3421" max="3421" width="16" bestFit="1" customWidth="1"/>
    <col min="3422" max="3422" width="29.140625" customWidth="1"/>
    <col min="3423" max="3423" width="15.7109375" customWidth="1"/>
    <col min="3424" max="3425" width="6.42578125" customWidth="1"/>
    <col min="3426" max="3426" width="24.5703125" customWidth="1"/>
    <col min="3427" max="3427" width="34.7109375" customWidth="1"/>
    <col min="3428" max="3428" width="16.42578125" customWidth="1"/>
    <col min="3429" max="3429" width="16" bestFit="1" customWidth="1"/>
    <col min="3430" max="3430" width="29.140625" customWidth="1"/>
    <col min="3431" max="3431" width="15.7109375" customWidth="1"/>
    <col min="3432" max="3433" width="6.42578125" customWidth="1"/>
    <col min="3434" max="3434" width="24.5703125" customWidth="1"/>
    <col min="3435" max="3435" width="34.7109375" customWidth="1"/>
    <col min="3436" max="3436" width="16.42578125" customWidth="1"/>
    <col min="3437" max="3437" width="16" bestFit="1" customWidth="1"/>
    <col min="3438" max="3438" width="29.140625" customWidth="1"/>
    <col min="3439" max="3439" width="15.7109375" customWidth="1"/>
    <col min="3440" max="3441" width="6.42578125" customWidth="1"/>
    <col min="3442" max="3442" width="24.5703125" customWidth="1"/>
    <col min="3443" max="3443" width="34.7109375" customWidth="1"/>
    <col min="3444" max="3444" width="16.42578125" customWidth="1"/>
    <col min="3445" max="3445" width="16" bestFit="1" customWidth="1"/>
    <col min="3446" max="3446" width="29.140625" customWidth="1"/>
    <col min="3447" max="3447" width="15.7109375" customWidth="1"/>
    <col min="3448" max="3449" width="6.42578125" customWidth="1"/>
    <col min="3450" max="3450" width="24.5703125" customWidth="1"/>
    <col min="3451" max="3451" width="34.7109375" customWidth="1"/>
    <col min="3452" max="3452" width="16.42578125" customWidth="1"/>
    <col min="3453" max="3453" width="16" bestFit="1" customWidth="1"/>
    <col min="3454" max="3454" width="29.140625" customWidth="1"/>
    <col min="3455" max="3455" width="15.7109375" customWidth="1"/>
    <col min="3456" max="3457" width="6.42578125" customWidth="1"/>
    <col min="3458" max="3458" width="24.5703125" customWidth="1"/>
    <col min="3459" max="3459" width="34.7109375" customWidth="1"/>
    <col min="3460" max="3460" width="16.42578125" customWidth="1"/>
    <col min="3461" max="3461" width="16" bestFit="1" customWidth="1"/>
    <col min="3462" max="3462" width="29.140625" customWidth="1"/>
    <col min="3463" max="3463" width="15.7109375" customWidth="1"/>
    <col min="3464" max="3465" width="6.42578125" customWidth="1"/>
    <col min="3466" max="3466" width="24.5703125" customWidth="1"/>
    <col min="3467" max="3467" width="34.7109375" customWidth="1"/>
    <col min="3468" max="3468" width="16.42578125" customWidth="1"/>
    <col min="3469" max="3469" width="16" bestFit="1" customWidth="1"/>
    <col min="3470" max="3470" width="29.140625" customWidth="1"/>
    <col min="3471" max="3471" width="15.7109375" customWidth="1"/>
    <col min="3472" max="3473" width="6.42578125" customWidth="1"/>
    <col min="3474" max="3474" width="24.5703125" customWidth="1"/>
    <col min="3475" max="3475" width="34.7109375" customWidth="1"/>
    <col min="3476" max="3476" width="16.42578125" customWidth="1"/>
    <col min="3477" max="3477" width="16" bestFit="1" customWidth="1"/>
    <col min="3478" max="3478" width="29.140625" customWidth="1"/>
    <col min="3479" max="3479" width="15.7109375" customWidth="1"/>
    <col min="3480" max="3481" width="6.42578125" customWidth="1"/>
    <col min="3482" max="3482" width="24.5703125" customWidth="1"/>
    <col min="3483" max="3483" width="34.7109375" customWidth="1"/>
    <col min="3484" max="3484" width="16.42578125" customWidth="1"/>
    <col min="3485" max="3485" width="16" bestFit="1" customWidth="1"/>
    <col min="3486" max="3486" width="29.140625" customWidth="1"/>
    <col min="3487" max="3487" width="15.7109375" customWidth="1"/>
    <col min="3488" max="3489" width="6.42578125" customWidth="1"/>
    <col min="3490" max="3490" width="24.5703125" customWidth="1"/>
    <col min="3491" max="3491" width="34.7109375" customWidth="1"/>
    <col min="3492" max="3492" width="16.42578125" customWidth="1"/>
    <col min="3493" max="3493" width="16" bestFit="1" customWidth="1"/>
    <col min="3494" max="3494" width="29.140625" customWidth="1"/>
    <col min="3495" max="3495" width="15.7109375" customWidth="1"/>
    <col min="3496" max="3497" width="6.42578125" customWidth="1"/>
    <col min="3498" max="3498" width="24.5703125" customWidth="1"/>
    <col min="3499" max="3499" width="34.7109375" customWidth="1"/>
    <col min="3500" max="3500" width="16.42578125" customWidth="1"/>
    <col min="3501" max="3501" width="16" bestFit="1" customWidth="1"/>
    <col min="3502" max="3502" width="29.140625" customWidth="1"/>
    <col min="3503" max="3503" width="15.7109375" customWidth="1"/>
    <col min="3504" max="3505" width="6.42578125" customWidth="1"/>
    <col min="3506" max="3506" width="24.5703125" customWidth="1"/>
    <col min="3507" max="3507" width="34.7109375" customWidth="1"/>
    <col min="3508" max="3508" width="16.42578125" customWidth="1"/>
    <col min="3509" max="3509" width="16" bestFit="1" customWidth="1"/>
    <col min="3510" max="3510" width="29.140625" customWidth="1"/>
    <col min="3511" max="3511" width="15.7109375" customWidth="1"/>
    <col min="3512" max="3513" width="6.42578125" customWidth="1"/>
    <col min="3514" max="3514" width="24.5703125" customWidth="1"/>
    <col min="3515" max="3515" width="34.7109375" customWidth="1"/>
    <col min="3516" max="3516" width="16.42578125" customWidth="1"/>
    <col min="3517" max="3517" width="16" bestFit="1" customWidth="1"/>
    <col min="3518" max="3518" width="29.140625" customWidth="1"/>
    <col min="3519" max="3519" width="15.7109375" customWidth="1"/>
    <col min="3520" max="3521" width="6.42578125" customWidth="1"/>
    <col min="3522" max="3522" width="24.5703125" customWidth="1"/>
    <col min="3523" max="3523" width="34.7109375" customWidth="1"/>
    <col min="3524" max="3524" width="16.42578125" customWidth="1"/>
    <col min="3525" max="3525" width="16" bestFit="1" customWidth="1"/>
    <col min="3526" max="3526" width="29.140625" customWidth="1"/>
    <col min="3527" max="3527" width="15.7109375" customWidth="1"/>
    <col min="3528" max="3529" width="6.42578125" customWidth="1"/>
    <col min="3530" max="3530" width="24.5703125" customWidth="1"/>
    <col min="3531" max="3531" width="34.7109375" customWidth="1"/>
    <col min="3532" max="3532" width="16.42578125" customWidth="1"/>
    <col min="3533" max="3533" width="16" bestFit="1" customWidth="1"/>
    <col min="3534" max="3534" width="29.140625" customWidth="1"/>
    <col min="3535" max="3535" width="15.7109375" customWidth="1"/>
    <col min="3536" max="3537" width="6.42578125" customWidth="1"/>
    <col min="3538" max="3538" width="24.5703125" customWidth="1"/>
    <col min="3539" max="3539" width="34.7109375" customWidth="1"/>
    <col min="3540" max="3540" width="16.42578125" customWidth="1"/>
    <col min="3541" max="3541" width="16" bestFit="1" customWidth="1"/>
    <col min="3542" max="3542" width="29.140625" customWidth="1"/>
    <col min="3543" max="3543" width="15.7109375" customWidth="1"/>
    <col min="3544" max="3545" width="6.42578125" customWidth="1"/>
    <col min="3546" max="3546" width="24.5703125" customWidth="1"/>
    <col min="3547" max="3547" width="34.7109375" customWidth="1"/>
    <col min="3548" max="3548" width="16.42578125" customWidth="1"/>
    <col min="3549" max="3549" width="16" bestFit="1" customWidth="1"/>
    <col min="3550" max="3550" width="29.140625" customWidth="1"/>
    <col min="3551" max="3551" width="15.7109375" customWidth="1"/>
    <col min="3552" max="3553" width="6.42578125" customWidth="1"/>
    <col min="3554" max="3554" width="24.5703125" customWidth="1"/>
    <col min="3555" max="3555" width="34.7109375" customWidth="1"/>
    <col min="3556" max="3556" width="16.42578125" customWidth="1"/>
    <col min="3557" max="3557" width="16" bestFit="1" customWidth="1"/>
    <col min="3558" max="3558" width="29.140625" customWidth="1"/>
    <col min="3559" max="3559" width="15.7109375" customWidth="1"/>
    <col min="3560" max="3561" width="6.42578125" customWidth="1"/>
    <col min="3562" max="3562" width="24.5703125" customWidth="1"/>
    <col min="3563" max="3563" width="34.7109375" customWidth="1"/>
    <col min="3564" max="3564" width="16.42578125" customWidth="1"/>
    <col min="3565" max="3565" width="16" bestFit="1" customWidth="1"/>
    <col min="3566" max="3566" width="29.140625" customWidth="1"/>
    <col min="3567" max="3567" width="15.7109375" customWidth="1"/>
    <col min="3568" max="3569" width="6.42578125" customWidth="1"/>
    <col min="3570" max="3570" width="24.5703125" customWidth="1"/>
    <col min="3571" max="3571" width="34.7109375" customWidth="1"/>
    <col min="3572" max="3572" width="16.42578125" customWidth="1"/>
    <col min="3573" max="3573" width="16" bestFit="1" customWidth="1"/>
    <col min="3574" max="3574" width="29.140625" customWidth="1"/>
    <col min="3575" max="3575" width="15.7109375" customWidth="1"/>
    <col min="3576" max="3577" width="6.42578125" customWidth="1"/>
    <col min="3578" max="3578" width="24.5703125" customWidth="1"/>
    <col min="3579" max="3579" width="34.7109375" customWidth="1"/>
    <col min="3580" max="3580" width="16.42578125" customWidth="1"/>
    <col min="3581" max="3581" width="16" bestFit="1" customWidth="1"/>
    <col min="3582" max="3582" width="29.140625" customWidth="1"/>
    <col min="3583" max="3583" width="15.7109375" customWidth="1"/>
    <col min="3584" max="3585" width="6.42578125" customWidth="1"/>
    <col min="3586" max="3586" width="24.5703125" customWidth="1"/>
    <col min="3587" max="3587" width="34.7109375" customWidth="1"/>
    <col min="3588" max="3588" width="16.42578125" customWidth="1"/>
    <col min="3589" max="3589" width="16" bestFit="1" customWidth="1"/>
    <col min="3590" max="3590" width="29.140625" customWidth="1"/>
    <col min="3591" max="3591" width="15.7109375" customWidth="1"/>
    <col min="3592" max="3593" width="6.42578125" customWidth="1"/>
    <col min="3594" max="3594" width="24.5703125" customWidth="1"/>
    <col min="3595" max="3595" width="34.7109375" customWidth="1"/>
    <col min="3596" max="3596" width="16.42578125" customWidth="1"/>
    <col min="3597" max="3597" width="16" bestFit="1" customWidth="1"/>
    <col min="3598" max="3598" width="29.140625" customWidth="1"/>
    <col min="3599" max="3599" width="15.7109375" customWidth="1"/>
    <col min="3600" max="3601" width="6.42578125" customWidth="1"/>
    <col min="3602" max="3602" width="24.5703125" customWidth="1"/>
    <col min="3603" max="3603" width="34.7109375" customWidth="1"/>
    <col min="3604" max="3604" width="16.42578125" customWidth="1"/>
    <col min="3605" max="3605" width="16" bestFit="1" customWidth="1"/>
    <col min="3606" max="3606" width="29.140625" customWidth="1"/>
    <col min="3607" max="3607" width="15.7109375" customWidth="1"/>
    <col min="3608" max="3609" width="6.42578125" customWidth="1"/>
    <col min="3610" max="3610" width="24.5703125" customWidth="1"/>
    <col min="3611" max="3611" width="34.7109375" customWidth="1"/>
    <col min="3612" max="3612" width="16.42578125" customWidth="1"/>
    <col min="3613" max="3613" width="16" bestFit="1" customWidth="1"/>
    <col min="3614" max="3614" width="29.140625" customWidth="1"/>
    <col min="3615" max="3615" width="15.7109375" customWidth="1"/>
    <col min="3616" max="3617" width="6.42578125" customWidth="1"/>
    <col min="3618" max="3618" width="24.5703125" customWidth="1"/>
    <col min="3619" max="3619" width="34.7109375" customWidth="1"/>
    <col min="3620" max="3620" width="16.42578125" customWidth="1"/>
    <col min="3621" max="3621" width="16" bestFit="1" customWidth="1"/>
    <col min="3622" max="3622" width="29.140625" customWidth="1"/>
    <col min="3623" max="3623" width="15.7109375" customWidth="1"/>
    <col min="3624" max="3625" width="6.42578125" customWidth="1"/>
    <col min="3626" max="3626" width="24.5703125" customWidth="1"/>
    <col min="3627" max="3627" width="34.7109375" customWidth="1"/>
    <col min="3628" max="3628" width="16.42578125" customWidth="1"/>
    <col min="3629" max="3629" width="16" bestFit="1" customWidth="1"/>
    <col min="3630" max="3630" width="29.140625" customWidth="1"/>
    <col min="3631" max="3631" width="15.7109375" customWidth="1"/>
    <col min="3632" max="3633" width="6.42578125" customWidth="1"/>
    <col min="3634" max="3634" width="24.5703125" customWidth="1"/>
    <col min="3635" max="3635" width="34.7109375" customWidth="1"/>
    <col min="3636" max="3636" width="16.42578125" customWidth="1"/>
    <col min="3637" max="3637" width="16" bestFit="1" customWidth="1"/>
    <col min="3638" max="3638" width="29.140625" customWidth="1"/>
    <col min="3639" max="3639" width="15.7109375" customWidth="1"/>
    <col min="3640" max="3641" width="6.42578125" customWidth="1"/>
    <col min="3642" max="3642" width="24.5703125" customWidth="1"/>
    <col min="3643" max="3643" width="34.7109375" customWidth="1"/>
    <col min="3644" max="3644" width="16.42578125" customWidth="1"/>
    <col min="3645" max="3645" width="16" bestFit="1" customWidth="1"/>
    <col min="3646" max="3646" width="29.140625" customWidth="1"/>
    <col min="3647" max="3647" width="15.7109375" customWidth="1"/>
    <col min="3648" max="3649" width="6.42578125" customWidth="1"/>
    <col min="3650" max="3650" width="24.5703125" customWidth="1"/>
    <col min="3651" max="3651" width="34.7109375" customWidth="1"/>
    <col min="3652" max="3652" width="16.42578125" customWidth="1"/>
    <col min="3653" max="3653" width="16" bestFit="1" customWidth="1"/>
    <col min="3654" max="3654" width="29.140625" customWidth="1"/>
    <col min="3655" max="3655" width="15.7109375" customWidth="1"/>
    <col min="3656" max="3657" width="6.42578125" customWidth="1"/>
    <col min="3658" max="3658" width="24.5703125" customWidth="1"/>
    <col min="3659" max="3659" width="34.7109375" customWidth="1"/>
    <col min="3660" max="3660" width="16.42578125" customWidth="1"/>
    <col min="3661" max="3661" width="16" bestFit="1" customWidth="1"/>
    <col min="3662" max="3662" width="29.140625" customWidth="1"/>
    <col min="3663" max="3663" width="15.7109375" customWidth="1"/>
    <col min="3664" max="3665" width="6.42578125" customWidth="1"/>
    <col min="3666" max="3666" width="24.5703125" customWidth="1"/>
    <col min="3667" max="3667" width="34.7109375" customWidth="1"/>
    <col min="3668" max="3668" width="16.42578125" customWidth="1"/>
    <col min="3669" max="3669" width="16" bestFit="1" customWidth="1"/>
    <col min="3670" max="3670" width="29.140625" customWidth="1"/>
    <col min="3671" max="3671" width="15.7109375" customWidth="1"/>
    <col min="3672" max="3673" width="6.42578125" customWidth="1"/>
    <col min="3674" max="3674" width="24.5703125" customWidth="1"/>
    <col min="3675" max="3675" width="34.7109375" customWidth="1"/>
    <col min="3676" max="3676" width="16.42578125" customWidth="1"/>
    <col min="3677" max="3677" width="16" bestFit="1" customWidth="1"/>
    <col min="3678" max="3678" width="29.140625" customWidth="1"/>
    <col min="3679" max="3679" width="15.7109375" customWidth="1"/>
    <col min="3680" max="3681" width="6.42578125" customWidth="1"/>
    <col min="3682" max="3682" width="24.5703125" customWidth="1"/>
    <col min="3683" max="3683" width="34.7109375" customWidth="1"/>
    <col min="3684" max="3684" width="16.42578125" customWidth="1"/>
    <col min="3685" max="3685" width="16" bestFit="1" customWidth="1"/>
    <col min="3686" max="3686" width="29.140625" customWidth="1"/>
    <col min="3687" max="3687" width="15.7109375" customWidth="1"/>
    <col min="3688" max="3689" width="6.42578125" customWidth="1"/>
    <col min="3690" max="3690" width="24.5703125" customWidth="1"/>
    <col min="3691" max="3691" width="34.7109375" customWidth="1"/>
    <col min="3692" max="3692" width="16.42578125" customWidth="1"/>
    <col min="3693" max="3693" width="16" bestFit="1" customWidth="1"/>
    <col min="3694" max="3694" width="29.140625" customWidth="1"/>
    <col min="3695" max="3695" width="15.7109375" customWidth="1"/>
    <col min="3696" max="3697" width="6.42578125" customWidth="1"/>
    <col min="3698" max="3698" width="24.5703125" customWidth="1"/>
    <col min="3699" max="3699" width="34.7109375" customWidth="1"/>
    <col min="3700" max="3700" width="16.42578125" customWidth="1"/>
    <col min="3701" max="3701" width="16" bestFit="1" customWidth="1"/>
    <col min="3702" max="3702" width="29.140625" customWidth="1"/>
    <col min="3703" max="3703" width="15.7109375" customWidth="1"/>
    <col min="3704" max="3705" width="6.42578125" customWidth="1"/>
    <col min="3706" max="3706" width="24.5703125" customWidth="1"/>
    <col min="3707" max="3707" width="34.7109375" customWidth="1"/>
    <col min="3708" max="3708" width="16.42578125" customWidth="1"/>
    <col min="3709" max="3709" width="16" bestFit="1" customWidth="1"/>
    <col min="3710" max="3710" width="29.140625" customWidth="1"/>
    <col min="3711" max="3711" width="15.7109375" customWidth="1"/>
    <col min="3712" max="3713" width="6.42578125" customWidth="1"/>
    <col min="3714" max="3714" width="24.5703125" customWidth="1"/>
    <col min="3715" max="3715" width="34.7109375" customWidth="1"/>
    <col min="3716" max="3716" width="16.42578125" customWidth="1"/>
    <col min="3717" max="3717" width="16" bestFit="1" customWidth="1"/>
    <col min="3718" max="3718" width="29.140625" customWidth="1"/>
    <col min="3719" max="3719" width="15.7109375" customWidth="1"/>
    <col min="3720" max="3721" width="6.42578125" customWidth="1"/>
    <col min="3722" max="3722" width="24.5703125" customWidth="1"/>
    <col min="3723" max="3723" width="34.7109375" customWidth="1"/>
    <col min="3724" max="3724" width="16.42578125" customWidth="1"/>
    <col min="3725" max="3725" width="16" bestFit="1" customWidth="1"/>
    <col min="3726" max="3726" width="29.140625" customWidth="1"/>
    <col min="3727" max="3727" width="15.7109375" customWidth="1"/>
    <col min="3728" max="3729" width="6.42578125" customWidth="1"/>
    <col min="3730" max="3730" width="24.5703125" customWidth="1"/>
    <col min="3731" max="3731" width="34.7109375" customWidth="1"/>
    <col min="3732" max="3732" width="16.42578125" customWidth="1"/>
    <col min="3733" max="3733" width="16" bestFit="1" customWidth="1"/>
    <col min="3734" max="3734" width="29.140625" customWidth="1"/>
    <col min="3735" max="3735" width="15.7109375" customWidth="1"/>
    <col min="3736" max="3737" width="6.42578125" customWidth="1"/>
    <col min="3738" max="3738" width="24.5703125" customWidth="1"/>
    <col min="3739" max="3739" width="34.7109375" customWidth="1"/>
    <col min="3740" max="3740" width="16.42578125" customWidth="1"/>
    <col min="3741" max="3741" width="16" bestFit="1" customWidth="1"/>
    <col min="3742" max="3742" width="29.140625" customWidth="1"/>
    <col min="3743" max="3743" width="15.7109375" customWidth="1"/>
    <col min="3744" max="3745" width="6.42578125" customWidth="1"/>
    <col min="3746" max="3746" width="24.5703125" customWidth="1"/>
    <col min="3747" max="3747" width="34.7109375" customWidth="1"/>
    <col min="3748" max="3748" width="16.42578125" customWidth="1"/>
    <col min="3749" max="3749" width="16" bestFit="1" customWidth="1"/>
    <col min="3750" max="3750" width="29.140625" customWidth="1"/>
    <col min="3751" max="3751" width="15.7109375" customWidth="1"/>
    <col min="3752" max="3753" width="6.42578125" customWidth="1"/>
    <col min="3754" max="3754" width="24.5703125" customWidth="1"/>
    <col min="3755" max="3755" width="34.7109375" customWidth="1"/>
    <col min="3756" max="3756" width="16.42578125" customWidth="1"/>
    <col min="3757" max="3757" width="16" bestFit="1" customWidth="1"/>
    <col min="3758" max="3758" width="29.140625" customWidth="1"/>
    <col min="3759" max="3759" width="15.7109375" customWidth="1"/>
    <col min="3760" max="3761" width="6.42578125" customWidth="1"/>
    <col min="3762" max="3762" width="24.5703125" customWidth="1"/>
    <col min="3763" max="3763" width="34.7109375" customWidth="1"/>
    <col min="3764" max="3764" width="16.42578125" customWidth="1"/>
    <col min="3765" max="3765" width="16" bestFit="1" customWidth="1"/>
    <col min="3766" max="3766" width="29.140625" customWidth="1"/>
    <col min="3767" max="3767" width="15.7109375" customWidth="1"/>
    <col min="3768" max="3769" width="6.42578125" customWidth="1"/>
    <col min="3770" max="3770" width="24.5703125" customWidth="1"/>
    <col min="3771" max="3771" width="34.7109375" customWidth="1"/>
    <col min="3772" max="3772" width="16.42578125" customWidth="1"/>
    <col min="3773" max="3773" width="16" bestFit="1" customWidth="1"/>
    <col min="3774" max="3774" width="29.140625" customWidth="1"/>
    <col min="3775" max="3775" width="15.7109375" customWidth="1"/>
    <col min="3776" max="3777" width="6.42578125" customWidth="1"/>
    <col min="3778" max="3778" width="24.5703125" customWidth="1"/>
    <col min="3779" max="3779" width="34.7109375" customWidth="1"/>
    <col min="3780" max="3780" width="16.42578125" customWidth="1"/>
    <col min="3781" max="3781" width="16" bestFit="1" customWidth="1"/>
    <col min="3782" max="3782" width="29.140625" customWidth="1"/>
    <col min="3783" max="3783" width="15.7109375" customWidth="1"/>
    <col min="3784" max="3785" width="6.42578125" customWidth="1"/>
    <col min="3786" max="3786" width="24.5703125" customWidth="1"/>
    <col min="3787" max="3787" width="34.7109375" customWidth="1"/>
    <col min="3788" max="3788" width="16.42578125" customWidth="1"/>
    <col min="3789" max="3789" width="16" bestFit="1" customWidth="1"/>
    <col min="3790" max="3790" width="29.140625" customWidth="1"/>
    <col min="3791" max="3791" width="15.7109375" customWidth="1"/>
    <col min="3792" max="3793" width="6.42578125" customWidth="1"/>
    <col min="3794" max="3794" width="24.5703125" customWidth="1"/>
    <col min="3795" max="3795" width="34.7109375" customWidth="1"/>
    <col min="3796" max="3796" width="16.42578125" customWidth="1"/>
    <col min="3797" max="3797" width="16" bestFit="1" customWidth="1"/>
    <col min="3798" max="3798" width="29.140625" customWidth="1"/>
    <col min="3799" max="3799" width="15.7109375" customWidth="1"/>
    <col min="3800" max="3801" width="6.42578125" customWidth="1"/>
    <col min="3802" max="3802" width="24.5703125" customWidth="1"/>
    <col min="3803" max="3803" width="34.7109375" customWidth="1"/>
    <col min="3804" max="3804" width="16.42578125" customWidth="1"/>
    <col min="3805" max="3805" width="16" bestFit="1" customWidth="1"/>
    <col min="3806" max="3806" width="29.140625" customWidth="1"/>
    <col min="3807" max="3807" width="15.7109375" customWidth="1"/>
    <col min="3808" max="3809" width="6.42578125" customWidth="1"/>
    <col min="3810" max="3810" width="24.5703125" customWidth="1"/>
    <col min="3811" max="3811" width="34.7109375" customWidth="1"/>
    <col min="3812" max="3812" width="16.42578125" customWidth="1"/>
    <col min="3813" max="3813" width="16" bestFit="1" customWidth="1"/>
    <col min="3814" max="3814" width="29.140625" customWidth="1"/>
    <col min="3815" max="3815" width="15.7109375" customWidth="1"/>
    <col min="3816" max="3817" width="6.42578125" customWidth="1"/>
    <col min="3818" max="3818" width="24.5703125" customWidth="1"/>
    <col min="3819" max="3819" width="34.7109375" customWidth="1"/>
    <col min="3820" max="3820" width="16.42578125" customWidth="1"/>
    <col min="3821" max="3821" width="16" bestFit="1" customWidth="1"/>
    <col min="3822" max="3822" width="29.140625" customWidth="1"/>
    <col min="3823" max="3823" width="15.7109375" customWidth="1"/>
    <col min="3824" max="3825" width="6.42578125" customWidth="1"/>
    <col min="3826" max="3826" width="24.5703125" customWidth="1"/>
    <col min="3827" max="3827" width="34.7109375" customWidth="1"/>
    <col min="3828" max="3828" width="16.42578125" customWidth="1"/>
    <col min="3829" max="3829" width="16" bestFit="1" customWidth="1"/>
    <col min="3830" max="3830" width="29.140625" customWidth="1"/>
    <col min="3831" max="3831" width="15.7109375" customWidth="1"/>
    <col min="3832" max="3833" width="6.42578125" customWidth="1"/>
    <col min="3834" max="3834" width="24.5703125" customWidth="1"/>
    <col min="3835" max="3835" width="34.7109375" customWidth="1"/>
    <col min="3836" max="3836" width="16.42578125" customWidth="1"/>
    <col min="3837" max="3837" width="16" bestFit="1" customWidth="1"/>
    <col min="3838" max="3838" width="29.140625" customWidth="1"/>
    <col min="3839" max="3839" width="15.7109375" customWidth="1"/>
    <col min="3840" max="3841" width="6.42578125" customWidth="1"/>
    <col min="3842" max="3842" width="24.5703125" customWidth="1"/>
    <col min="3843" max="3843" width="34.7109375" customWidth="1"/>
    <col min="3844" max="3844" width="16.42578125" customWidth="1"/>
    <col min="3845" max="3845" width="16" bestFit="1" customWidth="1"/>
    <col min="3846" max="3846" width="29.140625" customWidth="1"/>
    <col min="3847" max="3847" width="15.7109375" customWidth="1"/>
    <col min="3848" max="3849" width="6.42578125" customWidth="1"/>
    <col min="3850" max="3850" width="24.5703125" customWidth="1"/>
    <col min="3851" max="3851" width="34.7109375" customWidth="1"/>
    <col min="3852" max="3852" width="16.42578125" customWidth="1"/>
    <col min="3853" max="3853" width="16" bestFit="1" customWidth="1"/>
    <col min="3854" max="3854" width="29.140625" customWidth="1"/>
    <col min="3855" max="3855" width="15.7109375" customWidth="1"/>
    <col min="3856" max="3857" width="6.42578125" customWidth="1"/>
    <col min="3858" max="3858" width="24.5703125" customWidth="1"/>
    <col min="3859" max="3859" width="34.7109375" customWidth="1"/>
    <col min="3860" max="3860" width="16.42578125" customWidth="1"/>
    <col min="3861" max="3861" width="16" bestFit="1" customWidth="1"/>
    <col min="3862" max="3862" width="29.140625" customWidth="1"/>
    <col min="3863" max="3863" width="15.7109375" customWidth="1"/>
    <col min="3864" max="3865" width="6.42578125" customWidth="1"/>
    <col min="3866" max="3866" width="24.5703125" customWidth="1"/>
    <col min="3867" max="3867" width="34.7109375" customWidth="1"/>
    <col min="3868" max="3868" width="16.42578125" customWidth="1"/>
    <col min="3869" max="3869" width="16" bestFit="1" customWidth="1"/>
    <col min="3870" max="3870" width="29.140625" customWidth="1"/>
    <col min="3871" max="3871" width="15.7109375" customWidth="1"/>
    <col min="3872" max="3873" width="6.42578125" customWidth="1"/>
    <col min="3874" max="3874" width="24.5703125" customWidth="1"/>
    <col min="3875" max="3875" width="34.7109375" customWidth="1"/>
    <col min="3876" max="3876" width="16.42578125" customWidth="1"/>
    <col min="3877" max="3877" width="16" bestFit="1" customWidth="1"/>
    <col min="3878" max="3878" width="29.140625" customWidth="1"/>
    <col min="3879" max="3879" width="15.7109375" customWidth="1"/>
    <col min="3880" max="3881" width="6.42578125" customWidth="1"/>
    <col min="3882" max="3882" width="24.5703125" customWidth="1"/>
    <col min="3883" max="3883" width="34.7109375" customWidth="1"/>
    <col min="3884" max="3884" width="16.42578125" customWidth="1"/>
    <col min="3885" max="3885" width="16" bestFit="1" customWidth="1"/>
    <col min="3886" max="3886" width="29.140625" customWidth="1"/>
    <col min="3887" max="3887" width="15.7109375" customWidth="1"/>
    <col min="3888" max="3889" width="6.42578125" customWidth="1"/>
    <col min="3890" max="3890" width="24.5703125" customWidth="1"/>
    <col min="3891" max="3891" width="34.7109375" customWidth="1"/>
    <col min="3892" max="3892" width="16.42578125" customWidth="1"/>
    <col min="3893" max="3893" width="16" bestFit="1" customWidth="1"/>
    <col min="3894" max="3894" width="29.140625" customWidth="1"/>
    <col min="3895" max="3895" width="15.7109375" customWidth="1"/>
    <col min="3896" max="3897" width="6.42578125" customWidth="1"/>
    <col min="3898" max="3898" width="24.5703125" customWidth="1"/>
    <col min="3899" max="3899" width="34.7109375" customWidth="1"/>
    <col min="3900" max="3900" width="16.42578125" customWidth="1"/>
    <col min="3901" max="3901" width="16" bestFit="1" customWidth="1"/>
    <col min="3902" max="3902" width="29.140625" customWidth="1"/>
    <col min="3903" max="3903" width="15.7109375" customWidth="1"/>
    <col min="3904" max="3905" width="6.42578125" customWidth="1"/>
    <col min="3906" max="3906" width="24.5703125" customWidth="1"/>
    <col min="3907" max="3907" width="34.7109375" customWidth="1"/>
    <col min="3908" max="3908" width="16.42578125" customWidth="1"/>
    <col min="3909" max="3909" width="16" bestFit="1" customWidth="1"/>
    <col min="3910" max="3910" width="29.140625" customWidth="1"/>
    <col min="3911" max="3911" width="15.7109375" customWidth="1"/>
    <col min="3912" max="3913" width="6.42578125" customWidth="1"/>
    <col min="3914" max="3914" width="24.5703125" customWidth="1"/>
    <col min="3915" max="3915" width="34.7109375" customWidth="1"/>
    <col min="3916" max="3916" width="16.42578125" customWidth="1"/>
    <col min="3917" max="3917" width="16" bestFit="1" customWidth="1"/>
    <col min="3918" max="3918" width="29.140625" customWidth="1"/>
    <col min="3919" max="3919" width="15.7109375" customWidth="1"/>
    <col min="3920" max="3921" width="6.42578125" customWidth="1"/>
    <col min="3922" max="3922" width="24.5703125" customWidth="1"/>
    <col min="3923" max="3923" width="34.7109375" customWidth="1"/>
    <col min="3924" max="3924" width="16.42578125" customWidth="1"/>
    <col min="3925" max="3925" width="16" bestFit="1" customWidth="1"/>
    <col min="3926" max="3926" width="29.140625" customWidth="1"/>
    <col min="3927" max="3927" width="15.7109375" customWidth="1"/>
    <col min="3928" max="3929" width="6.42578125" customWidth="1"/>
    <col min="3930" max="3930" width="24.5703125" customWidth="1"/>
    <col min="3931" max="3931" width="34.7109375" customWidth="1"/>
    <col min="3932" max="3932" width="16.42578125" customWidth="1"/>
    <col min="3933" max="3933" width="16" bestFit="1" customWidth="1"/>
    <col min="3934" max="3934" width="29.140625" customWidth="1"/>
    <col min="3935" max="3935" width="15.7109375" customWidth="1"/>
    <col min="3936" max="3937" width="6.42578125" customWidth="1"/>
    <col min="3938" max="3938" width="24.5703125" customWidth="1"/>
    <col min="3939" max="3939" width="34.7109375" customWidth="1"/>
    <col min="3940" max="3940" width="16.42578125" customWidth="1"/>
    <col min="3941" max="3941" width="16" bestFit="1" customWidth="1"/>
    <col min="3942" max="3942" width="29.140625" customWidth="1"/>
    <col min="3943" max="3943" width="15.7109375" customWidth="1"/>
    <col min="3944" max="3945" width="6.42578125" customWidth="1"/>
    <col min="3946" max="3946" width="24.5703125" customWidth="1"/>
    <col min="3947" max="3947" width="34.7109375" customWidth="1"/>
    <col min="3948" max="3948" width="16.42578125" customWidth="1"/>
    <col min="3949" max="3949" width="16" bestFit="1" customWidth="1"/>
    <col min="3950" max="3950" width="29.140625" customWidth="1"/>
    <col min="3951" max="3951" width="15.7109375" customWidth="1"/>
    <col min="3952" max="3953" width="6.42578125" customWidth="1"/>
    <col min="3954" max="3954" width="24.5703125" customWidth="1"/>
    <col min="3955" max="3955" width="34.7109375" customWidth="1"/>
    <col min="3956" max="3956" width="16.42578125" customWidth="1"/>
    <col min="3957" max="3957" width="16" bestFit="1" customWidth="1"/>
    <col min="3958" max="3958" width="29.140625" customWidth="1"/>
    <col min="3959" max="3959" width="15.7109375" customWidth="1"/>
    <col min="3960" max="3961" width="6.42578125" customWidth="1"/>
    <col min="3962" max="3962" width="24.5703125" customWidth="1"/>
    <col min="3963" max="3963" width="34.7109375" customWidth="1"/>
    <col min="3964" max="3964" width="16.42578125" customWidth="1"/>
    <col min="3965" max="3965" width="16" bestFit="1" customWidth="1"/>
    <col min="3966" max="3966" width="29.140625" customWidth="1"/>
    <col min="3967" max="3967" width="15.7109375" customWidth="1"/>
    <col min="3968" max="3969" width="6.42578125" customWidth="1"/>
    <col min="3970" max="3970" width="24.5703125" customWidth="1"/>
    <col min="3971" max="3971" width="34.7109375" customWidth="1"/>
    <col min="3972" max="3972" width="16.42578125" customWidth="1"/>
    <col min="3973" max="3973" width="16" bestFit="1" customWidth="1"/>
    <col min="3974" max="3974" width="29.140625" customWidth="1"/>
    <col min="3975" max="3975" width="15.7109375" customWidth="1"/>
    <col min="3976" max="3977" width="6.42578125" customWidth="1"/>
    <col min="3978" max="3978" width="24.5703125" customWidth="1"/>
    <col min="3979" max="3979" width="34.7109375" customWidth="1"/>
    <col min="3980" max="3980" width="16.42578125" customWidth="1"/>
    <col min="3981" max="3981" width="16" bestFit="1" customWidth="1"/>
    <col min="3982" max="3982" width="29.140625" customWidth="1"/>
    <col min="3983" max="3983" width="15.7109375" customWidth="1"/>
    <col min="3984" max="3985" width="6.42578125" customWidth="1"/>
    <col min="3986" max="3986" width="24.5703125" customWidth="1"/>
    <col min="3987" max="3987" width="34.7109375" customWidth="1"/>
    <col min="3988" max="3988" width="16.42578125" customWidth="1"/>
    <col min="3989" max="3989" width="16" bestFit="1" customWidth="1"/>
    <col min="3990" max="3990" width="29.140625" customWidth="1"/>
    <col min="3991" max="3991" width="15.7109375" customWidth="1"/>
    <col min="3992" max="3993" width="6.42578125" customWidth="1"/>
    <col min="3994" max="3994" width="24.5703125" customWidth="1"/>
    <col min="3995" max="3995" width="34.7109375" customWidth="1"/>
    <col min="3996" max="3996" width="16.42578125" customWidth="1"/>
    <col min="3997" max="3997" width="16" bestFit="1" customWidth="1"/>
    <col min="3998" max="3998" width="29.140625" customWidth="1"/>
    <col min="3999" max="3999" width="15.7109375" customWidth="1"/>
    <col min="4000" max="4001" width="6.42578125" customWidth="1"/>
    <col min="4002" max="4002" width="24.5703125" customWidth="1"/>
    <col min="4003" max="4003" width="34.7109375" customWidth="1"/>
    <col min="4004" max="4004" width="16.42578125" customWidth="1"/>
    <col min="4005" max="4005" width="16" bestFit="1" customWidth="1"/>
    <col min="4006" max="4006" width="29.140625" customWidth="1"/>
    <col min="4007" max="4007" width="15.7109375" customWidth="1"/>
    <col min="4008" max="4009" width="6.42578125" customWidth="1"/>
    <col min="4010" max="4010" width="24.5703125" customWidth="1"/>
    <col min="4011" max="4011" width="34.7109375" customWidth="1"/>
    <col min="4012" max="4012" width="16.42578125" customWidth="1"/>
    <col min="4013" max="4013" width="16" bestFit="1" customWidth="1"/>
    <col min="4014" max="4014" width="29.140625" customWidth="1"/>
    <col min="4015" max="4015" width="15.7109375" customWidth="1"/>
    <col min="4016" max="4017" width="6.42578125" customWidth="1"/>
    <col min="4018" max="4018" width="24.5703125" customWidth="1"/>
    <col min="4019" max="4019" width="34.7109375" customWidth="1"/>
    <col min="4020" max="4020" width="16.42578125" customWidth="1"/>
    <col min="4021" max="4021" width="16" bestFit="1" customWidth="1"/>
    <col min="4022" max="4022" width="29.140625" customWidth="1"/>
    <col min="4023" max="4023" width="15.7109375" customWidth="1"/>
    <col min="4024" max="4025" width="6.42578125" customWidth="1"/>
    <col min="4026" max="4026" width="24.5703125" customWidth="1"/>
    <col min="4027" max="4027" width="34.7109375" customWidth="1"/>
    <col min="4028" max="4028" width="16.42578125" customWidth="1"/>
    <col min="4029" max="4029" width="16" bestFit="1" customWidth="1"/>
    <col min="4030" max="4030" width="29.140625" customWidth="1"/>
    <col min="4031" max="4031" width="15.7109375" customWidth="1"/>
    <col min="4032" max="4033" width="6.42578125" customWidth="1"/>
    <col min="4034" max="4034" width="24.5703125" customWidth="1"/>
    <col min="4035" max="4035" width="34.7109375" customWidth="1"/>
    <col min="4036" max="4036" width="16.42578125" customWidth="1"/>
    <col min="4037" max="4037" width="16" bestFit="1" customWidth="1"/>
    <col min="4038" max="4038" width="29.140625" customWidth="1"/>
    <col min="4039" max="4039" width="15.7109375" customWidth="1"/>
    <col min="4040" max="4041" width="6.42578125" customWidth="1"/>
    <col min="4042" max="4042" width="24.5703125" customWidth="1"/>
    <col min="4043" max="4043" width="34.7109375" customWidth="1"/>
    <col min="4044" max="4044" width="16.42578125" customWidth="1"/>
    <col min="4045" max="4045" width="16" bestFit="1" customWidth="1"/>
    <col min="4046" max="4046" width="29.140625" customWidth="1"/>
    <col min="4047" max="4047" width="15.7109375" customWidth="1"/>
    <col min="4048" max="4049" width="6.42578125" customWidth="1"/>
    <col min="4050" max="4050" width="24.5703125" customWidth="1"/>
    <col min="4051" max="4051" width="34.7109375" customWidth="1"/>
    <col min="4052" max="4052" width="16.42578125" customWidth="1"/>
    <col min="4053" max="4053" width="16" bestFit="1" customWidth="1"/>
    <col min="4054" max="4054" width="29.140625" customWidth="1"/>
    <col min="4055" max="4055" width="15.7109375" customWidth="1"/>
    <col min="4056" max="4057" width="6.42578125" customWidth="1"/>
    <col min="4058" max="4058" width="24.5703125" customWidth="1"/>
    <col min="4059" max="4059" width="34.7109375" customWidth="1"/>
    <col min="4060" max="4060" width="16.42578125" customWidth="1"/>
    <col min="4061" max="4061" width="16" bestFit="1" customWidth="1"/>
    <col min="4062" max="4062" width="29.140625" customWidth="1"/>
    <col min="4063" max="4063" width="15.7109375" customWidth="1"/>
    <col min="4064" max="4065" width="6.42578125" customWidth="1"/>
    <col min="4066" max="4066" width="24.5703125" customWidth="1"/>
    <col min="4067" max="4067" width="34.7109375" customWidth="1"/>
    <col min="4068" max="4068" width="16.42578125" customWidth="1"/>
    <col min="4069" max="4069" width="16" bestFit="1" customWidth="1"/>
    <col min="4070" max="4070" width="29.140625" customWidth="1"/>
    <col min="4071" max="4071" width="15.7109375" customWidth="1"/>
    <col min="4072" max="4073" width="6.42578125" customWidth="1"/>
    <col min="4074" max="4074" width="24.5703125" customWidth="1"/>
    <col min="4075" max="4075" width="34.7109375" customWidth="1"/>
    <col min="4076" max="4076" width="16.42578125" customWidth="1"/>
    <col min="4077" max="4077" width="16" bestFit="1" customWidth="1"/>
    <col min="4078" max="4078" width="29.140625" customWidth="1"/>
    <col min="4079" max="4079" width="15.7109375" customWidth="1"/>
    <col min="4080" max="4081" width="6.42578125" customWidth="1"/>
    <col min="4082" max="4082" width="24.5703125" customWidth="1"/>
    <col min="4083" max="4083" width="34.7109375" customWidth="1"/>
    <col min="4084" max="4084" width="16.42578125" customWidth="1"/>
    <col min="4085" max="4085" width="16" bestFit="1" customWidth="1"/>
    <col min="4086" max="4086" width="29.140625" customWidth="1"/>
    <col min="4087" max="4087" width="15.7109375" customWidth="1"/>
    <col min="4088" max="4089" width="6.42578125" customWidth="1"/>
    <col min="4090" max="4090" width="24.5703125" customWidth="1"/>
    <col min="4091" max="4091" width="34.7109375" customWidth="1"/>
    <col min="4092" max="4092" width="16.42578125" customWidth="1"/>
    <col min="4093" max="4093" width="16" bestFit="1" customWidth="1"/>
    <col min="4094" max="4094" width="29.140625" customWidth="1"/>
    <col min="4095" max="4095" width="15.7109375" customWidth="1"/>
    <col min="4096" max="4097" width="6.42578125" customWidth="1"/>
    <col min="4098" max="4098" width="24.5703125" customWidth="1"/>
    <col min="4099" max="4099" width="34.7109375" customWidth="1"/>
    <col min="4100" max="4100" width="16.42578125" customWidth="1"/>
    <col min="4101" max="4101" width="16" bestFit="1" customWidth="1"/>
    <col min="4102" max="4102" width="29.140625" customWidth="1"/>
    <col min="4103" max="4103" width="15.7109375" customWidth="1"/>
    <col min="4104" max="4105" width="6.42578125" customWidth="1"/>
    <col min="4106" max="4106" width="24.5703125" customWidth="1"/>
    <col min="4107" max="4107" width="34.7109375" customWidth="1"/>
    <col min="4108" max="4108" width="16.42578125" customWidth="1"/>
    <col min="4109" max="4109" width="16" bestFit="1" customWidth="1"/>
    <col min="4110" max="4110" width="29.140625" customWidth="1"/>
    <col min="4111" max="4111" width="15.7109375" customWidth="1"/>
    <col min="4112" max="4113" width="6.42578125" customWidth="1"/>
    <col min="4114" max="4114" width="24.5703125" customWidth="1"/>
    <col min="4115" max="4115" width="34.7109375" customWidth="1"/>
    <col min="4116" max="4116" width="16.42578125" customWidth="1"/>
    <col min="4117" max="4117" width="16" bestFit="1" customWidth="1"/>
    <col min="4118" max="4118" width="29.140625" customWidth="1"/>
    <col min="4119" max="4119" width="15.7109375" customWidth="1"/>
    <col min="4120" max="4121" width="6.42578125" customWidth="1"/>
    <col min="4122" max="4122" width="24.5703125" customWidth="1"/>
    <col min="4123" max="4123" width="34.7109375" customWidth="1"/>
    <col min="4124" max="4124" width="16.42578125" customWidth="1"/>
    <col min="4125" max="4125" width="16" bestFit="1" customWidth="1"/>
    <col min="4126" max="4126" width="29.140625" customWidth="1"/>
    <col min="4127" max="4127" width="15.7109375" customWidth="1"/>
    <col min="4128" max="4129" width="6.42578125" customWidth="1"/>
    <col min="4130" max="4130" width="24.5703125" customWidth="1"/>
    <col min="4131" max="4131" width="34.7109375" customWidth="1"/>
    <col min="4132" max="4132" width="16.42578125" customWidth="1"/>
    <col min="4133" max="4133" width="16" bestFit="1" customWidth="1"/>
    <col min="4134" max="4134" width="29.140625" customWidth="1"/>
    <col min="4135" max="4135" width="15.7109375" customWidth="1"/>
    <col min="4136" max="4137" width="6.42578125" customWidth="1"/>
    <col min="4138" max="4138" width="24.5703125" customWidth="1"/>
    <col min="4139" max="4139" width="34.7109375" customWidth="1"/>
    <col min="4140" max="4140" width="16.42578125" customWidth="1"/>
    <col min="4141" max="4141" width="16" bestFit="1" customWidth="1"/>
    <col min="4142" max="4142" width="29.140625" customWidth="1"/>
    <col min="4143" max="4143" width="15.7109375" customWidth="1"/>
    <col min="4144" max="4145" width="6.42578125" customWidth="1"/>
    <col min="4146" max="4146" width="24.5703125" customWidth="1"/>
    <col min="4147" max="4147" width="34.7109375" customWidth="1"/>
    <col min="4148" max="4148" width="16.42578125" customWidth="1"/>
    <col min="4149" max="4149" width="16" bestFit="1" customWidth="1"/>
    <col min="4150" max="4150" width="29.140625" customWidth="1"/>
    <col min="4151" max="4151" width="15.7109375" customWidth="1"/>
    <col min="4152" max="4153" width="6.42578125" customWidth="1"/>
    <col min="4154" max="4154" width="24.5703125" customWidth="1"/>
    <col min="4155" max="4155" width="34.7109375" customWidth="1"/>
    <col min="4156" max="4156" width="16.42578125" customWidth="1"/>
    <col min="4157" max="4157" width="16" bestFit="1" customWidth="1"/>
    <col min="4158" max="4158" width="29.140625" customWidth="1"/>
    <col min="4159" max="4159" width="15.7109375" customWidth="1"/>
    <col min="4160" max="4161" width="6.42578125" customWidth="1"/>
    <col min="4162" max="4162" width="24.5703125" customWidth="1"/>
    <col min="4163" max="4163" width="34.7109375" customWidth="1"/>
    <col min="4164" max="4164" width="16.42578125" customWidth="1"/>
    <col min="4165" max="4165" width="16" bestFit="1" customWidth="1"/>
    <col min="4166" max="4166" width="29.140625" customWidth="1"/>
    <col min="4167" max="4167" width="15.7109375" customWidth="1"/>
    <col min="4168" max="4169" width="6.42578125" customWidth="1"/>
    <col min="4170" max="4170" width="24.5703125" customWidth="1"/>
    <col min="4171" max="4171" width="34.7109375" customWidth="1"/>
    <col min="4172" max="4172" width="16.42578125" customWidth="1"/>
    <col min="4173" max="4173" width="16" bestFit="1" customWidth="1"/>
    <col min="4174" max="4174" width="29.140625" customWidth="1"/>
    <col min="4175" max="4175" width="15.7109375" customWidth="1"/>
    <col min="4176" max="4177" width="6.42578125" customWidth="1"/>
    <col min="4178" max="4178" width="24.5703125" customWidth="1"/>
    <col min="4179" max="4179" width="34.7109375" customWidth="1"/>
    <col min="4180" max="4180" width="16.42578125" customWidth="1"/>
    <col min="4181" max="4181" width="16" bestFit="1" customWidth="1"/>
    <col min="4182" max="4182" width="29.140625" customWidth="1"/>
    <col min="4183" max="4183" width="15.7109375" customWidth="1"/>
    <col min="4184" max="4185" width="6.42578125" customWidth="1"/>
    <col min="4186" max="4186" width="24.5703125" customWidth="1"/>
    <col min="4187" max="4187" width="34.7109375" customWidth="1"/>
    <col min="4188" max="4188" width="16.42578125" customWidth="1"/>
    <col min="4189" max="4189" width="16" bestFit="1" customWidth="1"/>
    <col min="4190" max="4190" width="29.140625" customWidth="1"/>
    <col min="4191" max="4191" width="15.7109375" customWidth="1"/>
    <col min="4192" max="4193" width="6.42578125" customWidth="1"/>
    <col min="4194" max="4194" width="24.5703125" customWidth="1"/>
    <col min="4195" max="4195" width="34.7109375" customWidth="1"/>
    <col min="4196" max="4196" width="16.42578125" customWidth="1"/>
    <col min="4197" max="4197" width="16" bestFit="1" customWidth="1"/>
    <col min="4198" max="4198" width="29.140625" customWidth="1"/>
    <col min="4199" max="4199" width="15.7109375" customWidth="1"/>
    <col min="4200" max="4201" width="6.42578125" customWidth="1"/>
    <col min="4202" max="4202" width="24.5703125" customWidth="1"/>
    <col min="4203" max="4203" width="34.7109375" customWidth="1"/>
    <col min="4204" max="4204" width="16.42578125" customWidth="1"/>
    <col min="4205" max="4205" width="16" bestFit="1" customWidth="1"/>
    <col min="4206" max="4206" width="29.140625" customWidth="1"/>
    <col min="4207" max="4207" width="15.7109375" customWidth="1"/>
    <col min="4208" max="4209" width="6.42578125" customWidth="1"/>
    <col min="4210" max="4210" width="24.5703125" customWidth="1"/>
    <col min="4211" max="4211" width="34.7109375" customWidth="1"/>
    <col min="4212" max="4212" width="16.42578125" customWidth="1"/>
    <col min="4213" max="4213" width="16" bestFit="1" customWidth="1"/>
    <col min="4214" max="4214" width="29.140625" customWidth="1"/>
    <col min="4215" max="4215" width="15.7109375" customWidth="1"/>
    <col min="4216" max="4217" width="6.42578125" customWidth="1"/>
    <col min="4218" max="4218" width="24.5703125" customWidth="1"/>
    <col min="4219" max="4219" width="34.7109375" customWidth="1"/>
    <col min="4220" max="4220" width="16.42578125" customWidth="1"/>
    <col min="4221" max="4221" width="16" bestFit="1" customWidth="1"/>
    <col min="4222" max="4222" width="29.140625" customWidth="1"/>
    <col min="4223" max="4223" width="15.7109375" customWidth="1"/>
    <col min="4224" max="4225" width="6.42578125" customWidth="1"/>
    <col min="4226" max="4226" width="24.5703125" customWidth="1"/>
    <col min="4227" max="4227" width="34.7109375" customWidth="1"/>
    <col min="4228" max="4228" width="16.42578125" customWidth="1"/>
    <col min="4229" max="4229" width="16" bestFit="1" customWidth="1"/>
    <col min="4230" max="4230" width="29.140625" customWidth="1"/>
    <col min="4231" max="4231" width="15.7109375" customWidth="1"/>
    <col min="4232" max="4233" width="6.42578125" customWidth="1"/>
    <col min="4234" max="4234" width="24.5703125" customWidth="1"/>
    <col min="4235" max="4235" width="34.7109375" customWidth="1"/>
    <col min="4236" max="4236" width="16.42578125" customWidth="1"/>
    <col min="4237" max="4237" width="16" bestFit="1" customWidth="1"/>
    <col min="4238" max="4238" width="29.140625" customWidth="1"/>
    <col min="4239" max="4239" width="15.7109375" customWidth="1"/>
    <col min="4240" max="4241" width="6.42578125" customWidth="1"/>
    <col min="4242" max="4242" width="24.5703125" customWidth="1"/>
    <col min="4243" max="4243" width="34.7109375" customWidth="1"/>
    <col min="4244" max="4244" width="16.42578125" customWidth="1"/>
    <col min="4245" max="4245" width="16" bestFit="1" customWidth="1"/>
    <col min="4246" max="4246" width="29.140625" customWidth="1"/>
    <col min="4247" max="4247" width="15.7109375" customWidth="1"/>
    <col min="4248" max="4249" width="6.42578125" customWidth="1"/>
    <col min="4250" max="4250" width="24.5703125" customWidth="1"/>
    <col min="4251" max="4251" width="34.7109375" customWidth="1"/>
    <col min="4252" max="4252" width="16.42578125" customWidth="1"/>
    <col min="4253" max="4253" width="16" bestFit="1" customWidth="1"/>
    <col min="4254" max="4254" width="29.140625" customWidth="1"/>
    <col min="4255" max="4255" width="15.7109375" customWidth="1"/>
    <col min="4256" max="4257" width="6.42578125" customWidth="1"/>
    <col min="4258" max="4258" width="24.5703125" customWidth="1"/>
    <col min="4259" max="4259" width="34.7109375" customWidth="1"/>
    <col min="4260" max="4260" width="16.42578125" customWidth="1"/>
    <col min="4261" max="4261" width="16" bestFit="1" customWidth="1"/>
    <col min="4262" max="4262" width="29.140625" customWidth="1"/>
    <col min="4263" max="4263" width="15.7109375" customWidth="1"/>
    <col min="4264" max="4265" width="6.42578125" customWidth="1"/>
    <col min="4266" max="4266" width="24.5703125" customWidth="1"/>
    <col min="4267" max="4267" width="34.7109375" customWidth="1"/>
    <col min="4268" max="4268" width="16.42578125" customWidth="1"/>
    <col min="4269" max="4269" width="16" bestFit="1" customWidth="1"/>
    <col min="4270" max="4270" width="29.140625" customWidth="1"/>
    <col min="4271" max="4271" width="15.7109375" customWidth="1"/>
    <col min="4272" max="4273" width="6.42578125" customWidth="1"/>
    <col min="4274" max="4274" width="24.5703125" customWidth="1"/>
    <col min="4275" max="4275" width="34.7109375" customWidth="1"/>
    <col min="4276" max="4276" width="16.42578125" customWidth="1"/>
    <col min="4277" max="4277" width="16" bestFit="1" customWidth="1"/>
    <col min="4278" max="4278" width="29.140625" customWidth="1"/>
    <col min="4279" max="4279" width="15.7109375" customWidth="1"/>
    <col min="4280" max="4281" width="6.42578125" customWidth="1"/>
    <col min="4282" max="4282" width="24.5703125" customWidth="1"/>
    <col min="4283" max="4283" width="34.7109375" customWidth="1"/>
    <col min="4284" max="4284" width="16.42578125" customWidth="1"/>
    <col min="4285" max="4285" width="16" bestFit="1" customWidth="1"/>
    <col min="4286" max="4286" width="29.140625" customWidth="1"/>
    <col min="4287" max="4287" width="15.7109375" customWidth="1"/>
    <col min="4288" max="4289" width="6.42578125" customWidth="1"/>
    <col min="4290" max="4290" width="24.5703125" customWidth="1"/>
    <col min="4291" max="4291" width="34.7109375" customWidth="1"/>
    <col min="4292" max="4292" width="16.42578125" customWidth="1"/>
    <col min="4293" max="4293" width="16" bestFit="1" customWidth="1"/>
    <col min="4294" max="4294" width="29.140625" customWidth="1"/>
    <col min="4295" max="4295" width="15.7109375" customWidth="1"/>
    <col min="4296" max="4297" width="6.42578125" customWidth="1"/>
    <col min="4298" max="4298" width="24.5703125" customWidth="1"/>
    <col min="4299" max="4299" width="34.7109375" customWidth="1"/>
    <col min="4300" max="4300" width="16.42578125" customWidth="1"/>
    <col min="4301" max="4301" width="16" bestFit="1" customWidth="1"/>
    <col min="4302" max="4302" width="29.140625" customWidth="1"/>
    <col min="4303" max="4303" width="15.7109375" customWidth="1"/>
    <col min="4304" max="4305" width="6.42578125" customWidth="1"/>
    <col min="4306" max="4306" width="24.5703125" customWidth="1"/>
    <col min="4307" max="4307" width="34.7109375" customWidth="1"/>
    <col min="4308" max="4308" width="16.42578125" customWidth="1"/>
    <col min="4309" max="4309" width="16" bestFit="1" customWidth="1"/>
    <col min="4310" max="4310" width="29.140625" customWidth="1"/>
    <col min="4311" max="4311" width="15.7109375" customWidth="1"/>
    <col min="4312" max="4313" width="6.42578125" customWidth="1"/>
    <col min="4314" max="4314" width="24.5703125" customWidth="1"/>
    <col min="4315" max="4315" width="34.7109375" customWidth="1"/>
    <col min="4316" max="4316" width="16.42578125" customWidth="1"/>
    <col min="4317" max="4317" width="16" bestFit="1" customWidth="1"/>
    <col min="4318" max="4318" width="29.140625" customWidth="1"/>
    <col min="4319" max="4319" width="15.7109375" customWidth="1"/>
    <col min="4320" max="4321" width="6.42578125" customWidth="1"/>
    <col min="4322" max="4322" width="24.5703125" customWidth="1"/>
    <col min="4323" max="4323" width="34.7109375" customWidth="1"/>
    <col min="4324" max="4324" width="16.42578125" customWidth="1"/>
    <col min="4325" max="4325" width="16" bestFit="1" customWidth="1"/>
    <col min="4326" max="4326" width="29.140625" customWidth="1"/>
    <col min="4327" max="4327" width="15.7109375" customWidth="1"/>
    <col min="4328" max="4329" width="6.42578125" customWidth="1"/>
    <col min="4330" max="4330" width="24.5703125" customWidth="1"/>
    <col min="4331" max="4331" width="34.7109375" customWidth="1"/>
    <col min="4332" max="4332" width="16.42578125" customWidth="1"/>
    <col min="4333" max="4333" width="16" bestFit="1" customWidth="1"/>
    <col min="4334" max="4334" width="29.140625" customWidth="1"/>
    <col min="4335" max="4335" width="15.7109375" customWidth="1"/>
    <col min="4336" max="4337" width="6.42578125" customWidth="1"/>
    <col min="4338" max="4338" width="24.5703125" customWidth="1"/>
    <col min="4339" max="4339" width="34.7109375" customWidth="1"/>
    <col min="4340" max="4340" width="16.42578125" customWidth="1"/>
    <col min="4341" max="4341" width="16" bestFit="1" customWidth="1"/>
    <col min="4342" max="4342" width="29.140625" customWidth="1"/>
    <col min="4343" max="4343" width="15.7109375" customWidth="1"/>
    <col min="4344" max="4345" width="6.42578125" customWidth="1"/>
    <col min="4346" max="4346" width="24.5703125" customWidth="1"/>
    <col min="4347" max="4347" width="34.7109375" customWidth="1"/>
    <col min="4348" max="4348" width="16.42578125" customWidth="1"/>
    <col min="4349" max="4349" width="16" bestFit="1" customWidth="1"/>
    <col min="4350" max="4350" width="29.140625" customWidth="1"/>
    <col min="4351" max="4351" width="15.7109375" customWidth="1"/>
    <col min="4352" max="4353" width="6.42578125" customWidth="1"/>
    <col min="4354" max="4354" width="24.5703125" customWidth="1"/>
    <col min="4355" max="4355" width="34.7109375" customWidth="1"/>
    <col min="4356" max="4356" width="16.42578125" customWidth="1"/>
    <col min="4357" max="4357" width="16" bestFit="1" customWidth="1"/>
    <col min="4358" max="4358" width="29.140625" customWidth="1"/>
    <col min="4359" max="4359" width="15.7109375" customWidth="1"/>
    <col min="4360" max="4361" width="6.42578125" customWidth="1"/>
    <col min="4362" max="4362" width="24.5703125" customWidth="1"/>
    <col min="4363" max="4363" width="34.7109375" customWidth="1"/>
    <col min="4364" max="4364" width="16.42578125" customWidth="1"/>
    <col min="4365" max="4365" width="16" bestFit="1" customWidth="1"/>
    <col min="4366" max="4366" width="29.140625" customWidth="1"/>
    <col min="4367" max="4367" width="15.7109375" customWidth="1"/>
    <col min="4368" max="4369" width="6.42578125" customWidth="1"/>
    <col min="4370" max="4370" width="24.5703125" customWidth="1"/>
    <col min="4371" max="4371" width="34.7109375" customWidth="1"/>
    <col min="4372" max="4372" width="16.42578125" customWidth="1"/>
    <col min="4373" max="4373" width="16" bestFit="1" customWidth="1"/>
    <col min="4374" max="4374" width="29.140625" customWidth="1"/>
    <col min="4375" max="4375" width="15.7109375" customWidth="1"/>
    <col min="4376" max="4377" width="6.42578125" customWidth="1"/>
    <col min="4378" max="4378" width="24.5703125" customWidth="1"/>
    <col min="4379" max="4379" width="34.7109375" customWidth="1"/>
    <col min="4380" max="4380" width="16.42578125" customWidth="1"/>
    <col min="4381" max="4381" width="16" bestFit="1" customWidth="1"/>
    <col min="4382" max="4382" width="29.140625" customWidth="1"/>
    <col min="4383" max="4383" width="15.7109375" customWidth="1"/>
    <col min="4384" max="4385" width="6.42578125" customWidth="1"/>
    <col min="4386" max="4386" width="24.5703125" customWidth="1"/>
    <col min="4387" max="4387" width="34.7109375" customWidth="1"/>
    <col min="4388" max="4388" width="16.42578125" customWidth="1"/>
    <col min="4389" max="4389" width="16" bestFit="1" customWidth="1"/>
    <col min="4390" max="4390" width="29.140625" customWidth="1"/>
    <col min="4391" max="4391" width="15.7109375" customWidth="1"/>
    <col min="4392" max="4393" width="6.42578125" customWidth="1"/>
    <col min="4394" max="4394" width="24.5703125" customWidth="1"/>
    <col min="4395" max="4395" width="34.7109375" customWidth="1"/>
    <col min="4396" max="4396" width="16.42578125" customWidth="1"/>
    <col min="4397" max="4397" width="16" bestFit="1" customWidth="1"/>
    <col min="4398" max="4398" width="29.140625" customWidth="1"/>
    <col min="4399" max="4399" width="15.7109375" customWidth="1"/>
    <col min="4400" max="4401" width="6.42578125" customWidth="1"/>
    <col min="4402" max="4402" width="24.5703125" customWidth="1"/>
    <col min="4403" max="4403" width="34.7109375" customWidth="1"/>
    <col min="4404" max="4404" width="16.42578125" customWidth="1"/>
    <col min="4405" max="4405" width="16" bestFit="1" customWidth="1"/>
    <col min="4406" max="4406" width="29.140625" customWidth="1"/>
    <col min="4407" max="4407" width="15.7109375" customWidth="1"/>
    <col min="4408" max="4409" width="6.42578125" customWidth="1"/>
    <col min="4410" max="4410" width="24.5703125" customWidth="1"/>
    <col min="4411" max="4411" width="34.7109375" customWidth="1"/>
    <col min="4412" max="4412" width="16.42578125" customWidth="1"/>
    <col min="4413" max="4413" width="16" bestFit="1" customWidth="1"/>
    <col min="4414" max="4414" width="29.140625" customWidth="1"/>
    <col min="4415" max="4415" width="15.7109375" customWidth="1"/>
    <col min="4416" max="4417" width="6.42578125" customWidth="1"/>
    <col min="4418" max="4418" width="24.5703125" customWidth="1"/>
    <col min="4419" max="4419" width="34.7109375" customWidth="1"/>
    <col min="4420" max="4420" width="16.42578125" customWidth="1"/>
    <col min="4421" max="4421" width="16" bestFit="1" customWidth="1"/>
    <col min="4422" max="4422" width="29.140625" customWidth="1"/>
    <col min="4423" max="4423" width="15.7109375" customWidth="1"/>
    <col min="4424" max="4425" width="6.42578125" customWidth="1"/>
    <col min="4426" max="4426" width="24.5703125" customWidth="1"/>
    <col min="4427" max="4427" width="34.7109375" customWidth="1"/>
    <col min="4428" max="4428" width="16.42578125" customWidth="1"/>
    <col min="4429" max="4429" width="16" bestFit="1" customWidth="1"/>
    <col min="4430" max="4430" width="29.140625" customWidth="1"/>
    <col min="4431" max="4431" width="15.7109375" customWidth="1"/>
    <col min="4432" max="4433" width="6.42578125" customWidth="1"/>
    <col min="4434" max="4434" width="24.5703125" customWidth="1"/>
    <col min="4435" max="4435" width="34.7109375" customWidth="1"/>
    <col min="4436" max="4436" width="16.42578125" customWidth="1"/>
    <col min="4437" max="4437" width="16" bestFit="1" customWidth="1"/>
    <col min="4438" max="4438" width="29.140625" customWidth="1"/>
    <col min="4439" max="4439" width="15.7109375" customWidth="1"/>
    <col min="4440" max="4441" width="6.42578125" customWidth="1"/>
    <col min="4442" max="4442" width="24.5703125" customWidth="1"/>
    <col min="4443" max="4443" width="34.7109375" customWidth="1"/>
    <col min="4444" max="4444" width="16.42578125" customWidth="1"/>
    <col min="4445" max="4445" width="16" bestFit="1" customWidth="1"/>
    <col min="4446" max="4446" width="29.140625" customWidth="1"/>
    <col min="4447" max="4447" width="15.7109375" customWidth="1"/>
    <col min="4448" max="4449" width="6.42578125" customWidth="1"/>
    <col min="4450" max="4450" width="24.5703125" customWidth="1"/>
    <col min="4451" max="4451" width="34.7109375" customWidth="1"/>
    <col min="4452" max="4452" width="16.42578125" customWidth="1"/>
    <col min="4453" max="4453" width="16" bestFit="1" customWidth="1"/>
    <col min="4454" max="4454" width="29.140625" customWidth="1"/>
    <col min="4455" max="4455" width="15.7109375" customWidth="1"/>
    <col min="4456" max="4457" width="6.42578125" customWidth="1"/>
    <col min="4458" max="4458" width="24.5703125" customWidth="1"/>
    <col min="4459" max="4459" width="34.7109375" customWidth="1"/>
    <col min="4460" max="4460" width="16.42578125" customWidth="1"/>
    <col min="4461" max="4461" width="16" bestFit="1" customWidth="1"/>
    <col min="4462" max="4462" width="29.140625" customWidth="1"/>
    <col min="4463" max="4463" width="15.7109375" customWidth="1"/>
    <col min="4464" max="4465" width="6.42578125" customWidth="1"/>
    <col min="4466" max="4466" width="24.5703125" customWidth="1"/>
    <col min="4467" max="4467" width="34.7109375" customWidth="1"/>
    <col min="4468" max="4468" width="16.42578125" customWidth="1"/>
    <col min="4469" max="4469" width="16" bestFit="1" customWidth="1"/>
    <col min="4470" max="4470" width="29.140625" customWidth="1"/>
    <col min="4471" max="4471" width="15.7109375" customWidth="1"/>
    <col min="4472" max="4473" width="6.42578125" customWidth="1"/>
    <col min="4474" max="4474" width="24.5703125" customWidth="1"/>
    <col min="4475" max="4475" width="34.7109375" customWidth="1"/>
    <col min="4476" max="4476" width="16.42578125" customWidth="1"/>
    <col min="4477" max="4477" width="16" bestFit="1" customWidth="1"/>
    <col min="4478" max="4478" width="29.140625" customWidth="1"/>
    <col min="4479" max="4479" width="15.7109375" customWidth="1"/>
    <col min="4480" max="4481" width="6.42578125" customWidth="1"/>
    <col min="4482" max="4482" width="24.5703125" customWidth="1"/>
    <col min="4483" max="4483" width="34.7109375" customWidth="1"/>
    <col min="4484" max="4484" width="16.42578125" customWidth="1"/>
    <col min="4485" max="4485" width="16" bestFit="1" customWidth="1"/>
    <col min="4486" max="4486" width="29.140625" customWidth="1"/>
    <col min="4487" max="4487" width="15.7109375" customWidth="1"/>
    <col min="4488" max="4489" width="6.42578125" customWidth="1"/>
    <col min="4490" max="4490" width="24.5703125" customWidth="1"/>
    <col min="4491" max="4491" width="34.7109375" customWidth="1"/>
    <col min="4492" max="4492" width="16.42578125" customWidth="1"/>
    <col min="4493" max="4493" width="16" bestFit="1" customWidth="1"/>
    <col min="4494" max="4494" width="29.140625" customWidth="1"/>
    <col min="4495" max="4495" width="15.7109375" customWidth="1"/>
    <col min="4496" max="4497" width="6.42578125" customWidth="1"/>
    <col min="4498" max="4498" width="24.5703125" customWidth="1"/>
    <col min="4499" max="4499" width="34.7109375" customWidth="1"/>
    <col min="4500" max="4500" width="16.42578125" customWidth="1"/>
    <col min="4501" max="4501" width="16" bestFit="1" customWidth="1"/>
    <col min="4502" max="4502" width="29.140625" customWidth="1"/>
    <col min="4503" max="4503" width="15.7109375" customWidth="1"/>
    <col min="4504" max="4505" width="6.42578125" customWidth="1"/>
    <col min="4506" max="4506" width="24.5703125" customWidth="1"/>
    <col min="4507" max="4507" width="34.7109375" customWidth="1"/>
    <col min="4508" max="4508" width="16.42578125" customWidth="1"/>
    <col min="4509" max="4509" width="16" bestFit="1" customWidth="1"/>
    <col min="4510" max="4510" width="29.140625" customWidth="1"/>
    <col min="4511" max="4511" width="15.7109375" customWidth="1"/>
    <col min="4512" max="4513" width="6.42578125" customWidth="1"/>
    <col min="4514" max="4514" width="24.5703125" customWidth="1"/>
    <col min="4515" max="4515" width="34.7109375" customWidth="1"/>
    <col min="4516" max="4516" width="16.42578125" customWidth="1"/>
    <col min="4517" max="4517" width="16" bestFit="1" customWidth="1"/>
    <col min="4518" max="4518" width="29.140625" customWidth="1"/>
    <col min="4519" max="4519" width="15.7109375" customWidth="1"/>
    <col min="4520" max="4521" width="6.42578125" customWidth="1"/>
    <col min="4522" max="4522" width="24.5703125" customWidth="1"/>
    <col min="4523" max="4523" width="34.7109375" customWidth="1"/>
    <col min="4524" max="4524" width="16.42578125" customWidth="1"/>
    <col min="4525" max="4525" width="16" bestFit="1" customWidth="1"/>
    <col min="4526" max="4526" width="29.140625" customWidth="1"/>
    <col min="4527" max="4527" width="15.7109375" customWidth="1"/>
    <col min="4528" max="4529" width="6.42578125" customWidth="1"/>
    <col min="4530" max="4530" width="24.5703125" customWidth="1"/>
    <col min="4531" max="4531" width="34.7109375" customWidth="1"/>
    <col min="4532" max="4532" width="16.42578125" customWidth="1"/>
    <col min="4533" max="4533" width="16" bestFit="1" customWidth="1"/>
    <col min="4534" max="4534" width="29.140625" customWidth="1"/>
    <col min="4535" max="4535" width="15.7109375" customWidth="1"/>
    <col min="4536" max="4537" width="6.42578125" customWidth="1"/>
    <col min="4538" max="4538" width="24.5703125" customWidth="1"/>
    <col min="4539" max="4539" width="34.7109375" customWidth="1"/>
    <col min="4540" max="4540" width="16.42578125" customWidth="1"/>
    <col min="4541" max="4541" width="16" bestFit="1" customWidth="1"/>
    <col min="4542" max="4542" width="29.140625" customWidth="1"/>
    <col min="4543" max="4543" width="15.7109375" customWidth="1"/>
    <col min="4544" max="4545" width="6.42578125" customWidth="1"/>
    <col min="4546" max="4546" width="24.5703125" customWidth="1"/>
    <col min="4547" max="4547" width="34.7109375" customWidth="1"/>
    <col min="4548" max="4548" width="16.42578125" customWidth="1"/>
    <col min="4549" max="4549" width="16" bestFit="1" customWidth="1"/>
    <col min="4550" max="4550" width="29.140625" customWidth="1"/>
    <col min="4551" max="4551" width="15.7109375" customWidth="1"/>
    <col min="4552" max="4553" width="6.42578125" customWidth="1"/>
    <col min="4554" max="4554" width="24.5703125" customWidth="1"/>
    <col min="4555" max="4555" width="34.7109375" customWidth="1"/>
    <col min="4556" max="4556" width="16.42578125" customWidth="1"/>
    <col min="4557" max="4557" width="16" bestFit="1" customWidth="1"/>
    <col min="4558" max="4558" width="29.140625" customWidth="1"/>
    <col min="4559" max="4559" width="15.7109375" customWidth="1"/>
    <col min="4560" max="4561" width="6.42578125" customWidth="1"/>
    <col min="4562" max="4562" width="24.5703125" customWidth="1"/>
    <col min="4563" max="4563" width="34.7109375" customWidth="1"/>
    <col min="4564" max="4564" width="16.42578125" customWidth="1"/>
    <col min="4565" max="4565" width="16" bestFit="1" customWidth="1"/>
    <col min="4566" max="4566" width="29.140625" customWidth="1"/>
    <col min="4567" max="4567" width="15.7109375" customWidth="1"/>
    <col min="4568" max="4569" width="6.42578125" customWidth="1"/>
    <col min="4570" max="4570" width="24.5703125" customWidth="1"/>
    <col min="4571" max="4571" width="34.7109375" customWidth="1"/>
    <col min="4572" max="4572" width="16.42578125" customWidth="1"/>
    <col min="4573" max="4573" width="16" bestFit="1" customWidth="1"/>
    <col min="4574" max="4574" width="29.140625" customWidth="1"/>
    <col min="4575" max="4575" width="15.7109375" customWidth="1"/>
    <col min="4576" max="4577" width="6.42578125" customWidth="1"/>
    <col min="4578" max="4578" width="24.5703125" customWidth="1"/>
    <col min="4579" max="4579" width="34.7109375" customWidth="1"/>
    <col min="4580" max="4580" width="16.42578125" customWidth="1"/>
    <col min="4581" max="4581" width="16" bestFit="1" customWidth="1"/>
    <col min="4582" max="4582" width="29.140625" customWidth="1"/>
    <col min="4583" max="4583" width="15.7109375" customWidth="1"/>
    <col min="4584" max="4585" width="6.42578125" customWidth="1"/>
    <col min="4586" max="4586" width="24.5703125" customWidth="1"/>
    <col min="4587" max="4587" width="34.7109375" customWidth="1"/>
    <col min="4588" max="4588" width="16.42578125" customWidth="1"/>
    <col min="4589" max="4589" width="16" bestFit="1" customWidth="1"/>
    <col min="4590" max="4590" width="29.140625" customWidth="1"/>
    <col min="4591" max="4591" width="15.7109375" customWidth="1"/>
    <col min="4592" max="4593" width="6.42578125" customWidth="1"/>
    <col min="4594" max="4594" width="24.5703125" customWidth="1"/>
    <col min="4595" max="4595" width="34.7109375" customWidth="1"/>
    <col min="4596" max="4596" width="16.42578125" customWidth="1"/>
    <col min="4597" max="4597" width="16" bestFit="1" customWidth="1"/>
    <col min="4598" max="4598" width="29.140625" customWidth="1"/>
    <col min="4599" max="4599" width="15.7109375" customWidth="1"/>
    <col min="4600" max="4601" width="6.42578125" customWidth="1"/>
    <col min="4602" max="4602" width="24.5703125" customWidth="1"/>
    <col min="4603" max="4603" width="34.7109375" customWidth="1"/>
    <col min="4604" max="4604" width="16.42578125" customWidth="1"/>
    <col min="4605" max="4605" width="16" bestFit="1" customWidth="1"/>
    <col min="4606" max="4606" width="29.140625" customWidth="1"/>
    <col min="4607" max="4607" width="15.7109375" customWidth="1"/>
    <col min="4608" max="4609" width="6.42578125" customWidth="1"/>
    <col min="4610" max="4610" width="24.5703125" customWidth="1"/>
    <col min="4611" max="4611" width="34.7109375" customWidth="1"/>
    <col min="4612" max="4612" width="16.42578125" customWidth="1"/>
    <col min="4613" max="4613" width="16" bestFit="1" customWidth="1"/>
    <col min="4614" max="4614" width="29.140625" customWidth="1"/>
    <col min="4615" max="4615" width="15.7109375" customWidth="1"/>
    <col min="4616" max="4617" width="6.42578125" customWidth="1"/>
    <col min="4618" max="4618" width="24.5703125" customWidth="1"/>
    <col min="4619" max="4619" width="34.7109375" customWidth="1"/>
    <col min="4620" max="4620" width="16.42578125" customWidth="1"/>
    <col min="4621" max="4621" width="16" bestFit="1" customWidth="1"/>
    <col min="4622" max="4622" width="29.140625" customWidth="1"/>
    <col min="4623" max="4623" width="15.7109375" customWidth="1"/>
    <col min="4624" max="4625" width="6.42578125" customWidth="1"/>
    <col min="4626" max="4626" width="24.5703125" customWidth="1"/>
    <col min="4627" max="4627" width="34.7109375" customWidth="1"/>
    <col min="4628" max="4628" width="16.42578125" customWidth="1"/>
    <col min="4629" max="4629" width="16" bestFit="1" customWidth="1"/>
    <col min="4630" max="4630" width="29.140625" customWidth="1"/>
    <col min="4631" max="4631" width="15.7109375" customWidth="1"/>
    <col min="4632" max="4633" width="6.42578125" customWidth="1"/>
    <col min="4634" max="4634" width="24.5703125" customWidth="1"/>
    <col min="4635" max="4635" width="34.7109375" customWidth="1"/>
    <col min="4636" max="4636" width="16.42578125" customWidth="1"/>
    <col min="4637" max="4637" width="16" bestFit="1" customWidth="1"/>
    <col min="4638" max="4638" width="29.140625" customWidth="1"/>
    <col min="4639" max="4639" width="15.7109375" customWidth="1"/>
    <col min="4640" max="4641" width="6.42578125" customWidth="1"/>
    <col min="4642" max="4642" width="24.5703125" customWidth="1"/>
    <col min="4643" max="4643" width="34.7109375" customWidth="1"/>
    <col min="4644" max="4644" width="16.42578125" customWidth="1"/>
    <col min="4645" max="4645" width="16" bestFit="1" customWidth="1"/>
    <col min="4646" max="4646" width="29.140625" customWidth="1"/>
    <col min="4647" max="4647" width="15.7109375" customWidth="1"/>
    <col min="4648" max="4649" width="6.42578125" customWidth="1"/>
    <col min="4650" max="4650" width="24.5703125" customWidth="1"/>
    <col min="4651" max="4651" width="34.7109375" customWidth="1"/>
    <col min="4652" max="4652" width="16.42578125" customWidth="1"/>
    <col min="4653" max="4653" width="16" bestFit="1" customWidth="1"/>
    <col min="4654" max="4654" width="29.140625" customWidth="1"/>
    <col min="4655" max="4655" width="15.7109375" customWidth="1"/>
    <col min="4656" max="4657" width="6.42578125" customWidth="1"/>
    <col min="4658" max="4658" width="24.5703125" customWidth="1"/>
    <col min="4659" max="4659" width="34.7109375" customWidth="1"/>
    <col min="4660" max="4660" width="16.42578125" customWidth="1"/>
    <col min="4661" max="4661" width="16" bestFit="1" customWidth="1"/>
    <col min="4662" max="4662" width="29.140625" customWidth="1"/>
    <col min="4663" max="4663" width="15.7109375" customWidth="1"/>
    <col min="4664" max="4665" width="6.42578125" customWidth="1"/>
    <col min="4666" max="4666" width="24.5703125" customWidth="1"/>
    <col min="4667" max="4667" width="34.7109375" customWidth="1"/>
    <col min="4668" max="4668" width="16.42578125" customWidth="1"/>
    <col min="4669" max="4669" width="16" bestFit="1" customWidth="1"/>
    <col min="4670" max="4670" width="29.140625" customWidth="1"/>
    <col min="4671" max="4671" width="15.7109375" customWidth="1"/>
    <col min="4672" max="4673" width="6.42578125" customWidth="1"/>
    <col min="4674" max="4674" width="24.5703125" customWidth="1"/>
    <col min="4675" max="4675" width="34.7109375" customWidth="1"/>
    <col min="4676" max="4676" width="16.42578125" customWidth="1"/>
    <col min="4677" max="4677" width="16" bestFit="1" customWidth="1"/>
    <col min="4678" max="4678" width="29.140625" customWidth="1"/>
    <col min="4679" max="4679" width="15.7109375" customWidth="1"/>
    <col min="4680" max="4681" width="6.42578125" customWidth="1"/>
    <col min="4682" max="4682" width="24.5703125" customWidth="1"/>
    <col min="4683" max="4683" width="34.7109375" customWidth="1"/>
    <col min="4684" max="4684" width="16.42578125" customWidth="1"/>
    <col min="4685" max="4685" width="16" bestFit="1" customWidth="1"/>
    <col min="4686" max="4686" width="29.140625" customWidth="1"/>
    <col min="4687" max="4687" width="15.7109375" customWidth="1"/>
    <col min="4688" max="4689" width="6.42578125" customWidth="1"/>
    <col min="4690" max="4690" width="24.5703125" customWidth="1"/>
    <col min="4691" max="4691" width="34.7109375" customWidth="1"/>
    <col min="4692" max="4692" width="16.42578125" customWidth="1"/>
    <col min="4693" max="4693" width="16" bestFit="1" customWidth="1"/>
    <col min="4694" max="4694" width="29.140625" customWidth="1"/>
    <col min="4695" max="4695" width="15.7109375" customWidth="1"/>
    <col min="4696" max="4697" width="6.42578125" customWidth="1"/>
    <col min="4698" max="4698" width="24.5703125" customWidth="1"/>
    <col min="4699" max="4699" width="34.7109375" customWidth="1"/>
    <col min="4700" max="4700" width="16.42578125" customWidth="1"/>
    <col min="4701" max="4701" width="16" bestFit="1" customWidth="1"/>
    <col min="4702" max="4702" width="29.140625" customWidth="1"/>
    <col min="4703" max="4703" width="15.7109375" customWidth="1"/>
    <col min="4704" max="4705" width="6.42578125" customWidth="1"/>
    <col min="4706" max="4706" width="24.5703125" customWidth="1"/>
    <col min="4707" max="4707" width="34.7109375" customWidth="1"/>
    <col min="4708" max="4708" width="16.42578125" customWidth="1"/>
    <col min="4709" max="4709" width="16" bestFit="1" customWidth="1"/>
    <col min="4710" max="4710" width="29.140625" customWidth="1"/>
    <col min="4711" max="4711" width="15.7109375" customWidth="1"/>
    <col min="4712" max="4713" width="6.42578125" customWidth="1"/>
    <col min="4714" max="4714" width="24.5703125" customWidth="1"/>
    <col min="4715" max="4715" width="34.7109375" customWidth="1"/>
    <col min="4716" max="4716" width="16.42578125" customWidth="1"/>
    <col min="4717" max="4717" width="16" bestFit="1" customWidth="1"/>
    <col min="4718" max="4718" width="29.140625" customWidth="1"/>
    <col min="4719" max="4719" width="15.7109375" customWidth="1"/>
    <col min="4720" max="4721" width="6.42578125" customWidth="1"/>
    <col min="4722" max="4722" width="24.5703125" customWidth="1"/>
    <col min="4723" max="4723" width="34.7109375" customWidth="1"/>
    <col min="4724" max="4724" width="16.42578125" customWidth="1"/>
    <col min="4725" max="4725" width="16" bestFit="1" customWidth="1"/>
    <col min="4726" max="4726" width="29.140625" customWidth="1"/>
    <col min="4727" max="4727" width="15.7109375" customWidth="1"/>
    <col min="4728" max="4729" width="6.42578125" customWidth="1"/>
    <col min="4730" max="4730" width="24.5703125" customWidth="1"/>
    <col min="4731" max="4731" width="34.7109375" customWidth="1"/>
    <col min="4732" max="4732" width="16.42578125" customWidth="1"/>
    <col min="4733" max="4733" width="16" bestFit="1" customWidth="1"/>
    <col min="4734" max="4734" width="29.140625" customWidth="1"/>
    <col min="4735" max="4735" width="15.7109375" customWidth="1"/>
    <col min="4736" max="4737" width="6.42578125" customWidth="1"/>
    <col min="4738" max="4738" width="24.5703125" customWidth="1"/>
    <col min="4739" max="4739" width="34.7109375" customWidth="1"/>
    <col min="4740" max="4740" width="16.42578125" customWidth="1"/>
    <col min="4741" max="4741" width="16" bestFit="1" customWidth="1"/>
    <col min="4742" max="4742" width="29.140625" customWidth="1"/>
    <col min="4743" max="4743" width="15.7109375" customWidth="1"/>
    <col min="4744" max="4745" width="6.42578125" customWidth="1"/>
    <col min="4746" max="4746" width="24.5703125" customWidth="1"/>
    <col min="4747" max="4747" width="34.7109375" customWidth="1"/>
    <col min="4748" max="4748" width="16.42578125" customWidth="1"/>
    <col min="4749" max="4749" width="16" bestFit="1" customWidth="1"/>
    <col min="4750" max="4750" width="29.140625" customWidth="1"/>
    <col min="4751" max="4751" width="15.7109375" customWidth="1"/>
    <col min="4752" max="4753" width="6.42578125" customWidth="1"/>
    <col min="4754" max="4754" width="24.5703125" customWidth="1"/>
    <col min="4755" max="4755" width="34.7109375" customWidth="1"/>
    <col min="4756" max="4756" width="16.42578125" customWidth="1"/>
    <col min="4757" max="4757" width="16" bestFit="1" customWidth="1"/>
    <col min="4758" max="4758" width="29.140625" customWidth="1"/>
    <col min="4759" max="4759" width="15.7109375" customWidth="1"/>
    <col min="4760" max="4761" width="6.42578125" customWidth="1"/>
    <col min="4762" max="4762" width="24.5703125" customWidth="1"/>
    <col min="4763" max="4763" width="34.7109375" customWidth="1"/>
    <col min="4764" max="4764" width="16.42578125" customWidth="1"/>
    <col min="4765" max="4765" width="16" bestFit="1" customWidth="1"/>
    <col min="4766" max="4766" width="29.140625" customWidth="1"/>
    <col min="4767" max="4767" width="15.7109375" customWidth="1"/>
    <col min="4768" max="4769" width="6.42578125" customWidth="1"/>
    <col min="4770" max="4770" width="24.5703125" customWidth="1"/>
    <col min="4771" max="4771" width="34.7109375" customWidth="1"/>
    <col min="4772" max="4772" width="16.42578125" customWidth="1"/>
    <col min="4773" max="4773" width="16" bestFit="1" customWidth="1"/>
    <col min="4774" max="4774" width="29.140625" customWidth="1"/>
    <col min="4775" max="4775" width="15.7109375" customWidth="1"/>
    <col min="4776" max="4777" width="6.42578125" customWidth="1"/>
    <col min="4778" max="4778" width="24.5703125" customWidth="1"/>
    <col min="4779" max="4779" width="34.7109375" customWidth="1"/>
    <col min="4780" max="4780" width="16.42578125" customWidth="1"/>
    <col min="4781" max="4781" width="16" bestFit="1" customWidth="1"/>
    <col min="4782" max="4782" width="29.140625" customWidth="1"/>
    <col min="4783" max="4783" width="15.7109375" customWidth="1"/>
    <col min="4784" max="4785" width="6.42578125" customWidth="1"/>
    <col min="4786" max="4786" width="24.5703125" customWidth="1"/>
    <col min="4787" max="4787" width="34.7109375" customWidth="1"/>
    <col min="4788" max="4788" width="16.42578125" customWidth="1"/>
    <col min="4789" max="4789" width="16" bestFit="1" customWidth="1"/>
    <col min="4790" max="4790" width="29.140625" customWidth="1"/>
    <col min="4791" max="4791" width="15.7109375" customWidth="1"/>
    <col min="4792" max="4793" width="6.42578125" customWidth="1"/>
    <col min="4794" max="4794" width="24.5703125" customWidth="1"/>
    <col min="4795" max="4795" width="34.7109375" customWidth="1"/>
    <col min="4796" max="4796" width="16.42578125" customWidth="1"/>
    <col min="4797" max="4797" width="16" bestFit="1" customWidth="1"/>
    <col min="4798" max="4798" width="29.140625" customWidth="1"/>
    <col min="4799" max="4799" width="15.7109375" customWidth="1"/>
    <col min="4800" max="4801" width="6.42578125" customWidth="1"/>
    <col min="4802" max="4802" width="24.5703125" customWidth="1"/>
    <col min="4803" max="4803" width="34.7109375" customWidth="1"/>
    <col min="4804" max="4804" width="16.42578125" customWidth="1"/>
    <col min="4805" max="4805" width="16" bestFit="1" customWidth="1"/>
    <col min="4806" max="4806" width="29.140625" customWidth="1"/>
    <col min="4807" max="4807" width="15.7109375" customWidth="1"/>
    <col min="4808" max="4809" width="6.42578125" customWidth="1"/>
    <col min="4810" max="4810" width="24.5703125" customWidth="1"/>
    <col min="4811" max="4811" width="34.7109375" customWidth="1"/>
    <col min="4812" max="4812" width="16.42578125" customWidth="1"/>
    <col min="4813" max="4813" width="16" bestFit="1" customWidth="1"/>
    <col min="4814" max="4814" width="29.140625" customWidth="1"/>
    <col min="4815" max="4815" width="15.7109375" customWidth="1"/>
    <col min="4816" max="4817" width="6.42578125" customWidth="1"/>
    <col min="4818" max="4818" width="24.5703125" customWidth="1"/>
    <col min="4819" max="4819" width="34.7109375" customWidth="1"/>
    <col min="4820" max="4820" width="16.42578125" customWidth="1"/>
    <col min="4821" max="4821" width="16" bestFit="1" customWidth="1"/>
    <col min="4822" max="4822" width="29.140625" customWidth="1"/>
    <col min="4823" max="4823" width="15.7109375" customWidth="1"/>
    <col min="4824" max="4825" width="6.42578125" customWidth="1"/>
    <col min="4826" max="4826" width="24.5703125" customWidth="1"/>
    <col min="4827" max="4827" width="34.7109375" customWidth="1"/>
    <col min="4828" max="4828" width="16.42578125" customWidth="1"/>
    <col min="4829" max="4829" width="16" bestFit="1" customWidth="1"/>
    <col min="4830" max="4830" width="29.140625" customWidth="1"/>
    <col min="4831" max="4831" width="15.7109375" customWidth="1"/>
    <col min="4832" max="4833" width="6.42578125" customWidth="1"/>
    <col min="4834" max="4834" width="24.5703125" customWidth="1"/>
    <col min="4835" max="4835" width="34.7109375" customWidth="1"/>
    <col min="4836" max="4836" width="16.42578125" customWidth="1"/>
    <col min="4837" max="4837" width="16" bestFit="1" customWidth="1"/>
    <col min="4838" max="4838" width="29.140625" customWidth="1"/>
    <col min="4839" max="4839" width="15.7109375" customWidth="1"/>
    <col min="4840" max="4841" width="6.42578125" customWidth="1"/>
    <col min="4842" max="4842" width="24.5703125" customWidth="1"/>
    <col min="4843" max="4843" width="34.7109375" customWidth="1"/>
    <col min="4844" max="4844" width="16.42578125" customWidth="1"/>
    <col min="4845" max="4845" width="16" bestFit="1" customWidth="1"/>
    <col min="4846" max="4846" width="29.140625" customWidth="1"/>
    <col min="4847" max="4847" width="15.7109375" customWidth="1"/>
    <col min="4848" max="4849" width="6.42578125" customWidth="1"/>
    <col min="4850" max="4850" width="24.5703125" customWidth="1"/>
    <col min="4851" max="4851" width="34.7109375" customWidth="1"/>
    <col min="4852" max="4852" width="16.42578125" customWidth="1"/>
    <col min="4853" max="4853" width="16" bestFit="1" customWidth="1"/>
    <col min="4854" max="4854" width="29.140625" customWidth="1"/>
    <col min="4855" max="4855" width="15.7109375" customWidth="1"/>
    <col min="4856" max="4857" width="6.42578125" customWidth="1"/>
    <col min="4858" max="4858" width="24.5703125" customWidth="1"/>
    <col min="4859" max="4859" width="34.7109375" customWidth="1"/>
    <col min="4860" max="4860" width="16.42578125" customWidth="1"/>
    <col min="4861" max="4861" width="16" bestFit="1" customWidth="1"/>
    <col min="4862" max="4862" width="29.140625" customWidth="1"/>
    <col min="4863" max="4863" width="15.7109375" customWidth="1"/>
    <col min="4864" max="4865" width="6.42578125" customWidth="1"/>
    <col min="4866" max="4866" width="24.5703125" customWidth="1"/>
    <col min="4867" max="4867" width="34.7109375" customWidth="1"/>
    <col min="4868" max="4868" width="16.42578125" customWidth="1"/>
    <col min="4869" max="4869" width="16" bestFit="1" customWidth="1"/>
    <col min="4870" max="4870" width="29.140625" customWidth="1"/>
    <col min="4871" max="4871" width="15.7109375" customWidth="1"/>
    <col min="4872" max="4873" width="6.42578125" customWidth="1"/>
    <col min="4874" max="4874" width="24.5703125" customWidth="1"/>
    <col min="4875" max="4875" width="34.7109375" customWidth="1"/>
    <col min="4876" max="4876" width="16.42578125" customWidth="1"/>
    <col min="4877" max="4877" width="16" bestFit="1" customWidth="1"/>
    <col min="4878" max="4878" width="29.140625" customWidth="1"/>
    <col min="4879" max="4879" width="15.7109375" customWidth="1"/>
    <col min="4880" max="4881" width="6.42578125" customWidth="1"/>
    <col min="4882" max="4882" width="24.5703125" customWidth="1"/>
    <col min="4883" max="4883" width="34.7109375" customWidth="1"/>
    <col min="4884" max="4884" width="16.42578125" customWidth="1"/>
    <col min="4885" max="4885" width="16" bestFit="1" customWidth="1"/>
    <col min="4886" max="4886" width="29.140625" customWidth="1"/>
    <col min="4887" max="4887" width="15.7109375" customWidth="1"/>
    <col min="4888" max="4889" width="6.42578125" customWidth="1"/>
    <col min="4890" max="4890" width="24.5703125" customWidth="1"/>
    <col min="4891" max="4891" width="34.7109375" customWidth="1"/>
    <col min="4892" max="4892" width="16.42578125" customWidth="1"/>
    <col min="4893" max="4893" width="16" bestFit="1" customWidth="1"/>
    <col min="4894" max="4894" width="29.140625" customWidth="1"/>
    <col min="4895" max="4895" width="15.7109375" customWidth="1"/>
    <col min="4896" max="4897" width="6.42578125" customWidth="1"/>
    <col min="4898" max="4898" width="24.5703125" customWidth="1"/>
    <col min="4899" max="4899" width="34.7109375" customWidth="1"/>
    <col min="4900" max="4900" width="16.42578125" customWidth="1"/>
    <col min="4901" max="4901" width="16" bestFit="1" customWidth="1"/>
    <col min="4902" max="4902" width="29.140625" customWidth="1"/>
    <col min="4903" max="4903" width="15.7109375" customWidth="1"/>
    <col min="4904" max="4905" width="6.42578125" customWidth="1"/>
    <col min="4906" max="4906" width="24.5703125" customWidth="1"/>
    <col min="4907" max="4907" width="34.7109375" customWidth="1"/>
    <col min="4908" max="4908" width="16.42578125" customWidth="1"/>
    <col min="4909" max="4909" width="16" bestFit="1" customWidth="1"/>
    <col min="4910" max="4910" width="29.140625" customWidth="1"/>
    <col min="4911" max="4911" width="15.7109375" customWidth="1"/>
    <col min="4912" max="4913" width="6.42578125" customWidth="1"/>
    <col min="4914" max="4914" width="24.5703125" customWidth="1"/>
    <col min="4915" max="4915" width="34.7109375" customWidth="1"/>
    <col min="4916" max="4916" width="16.42578125" customWidth="1"/>
    <col min="4917" max="4917" width="16" bestFit="1" customWidth="1"/>
    <col min="4918" max="4918" width="29.140625" customWidth="1"/>
    <col min="4919" max="4919" width="15.7109375" customWidth="1"/>
    <col min="4920" max="4921" width="6.42578125" customWidth="1"/>
    <col min="4922" max="4922" width="24.5703125" customWidth="1"/>
    <col min="4923" max="4923" width="34.7109375" customWidth="1"/>
    <col min="4924" max="4924" width="16.42578125" customWidth="1"/>
    <col min="4925" max="4925" width="16" bestFit="1" customWidth="1"/>
    <col min="4926" max="4926" width="29.140625" customWidth="1"/>
    <col min="4927" max="4927" width="15.7109375" customWidth="1"/>
    <col min="4928" max="4929" width="6.42578125" customWidth="1"/>
    <col min="4930" max="4930" width="24.5703125" customWidth="1"/>
    <col min="4931" max="4931" width="34.7109375" customWidth="1"/>
    <col min="4932" max="4932" width="16.42578125" customWidth="1"/>
    <col min="4933" max="4933" width="16" bestFit="1" customWidth="1"/>
    <col min="4934" max="4934" width="29.140625" customWidth="1"/>
    <col min="4935" max="4935" width="15.7109375" customWidth="1"/>
    <col min="4936" max="4937" width="6.42578125" customWidth="1"/>
    <col min="4938" max="4938" width="24.5703125" customWidth="1"/>
    <col min="4939" max="4939" width="34.7109375" customWidth="1"/>
    <col min="4940" max="4940" width="16.42578125" customWidth="1"/>
    <col min="4941" max="4941" width="16" bestFit="1" customWidth="1"/>
    <col min="4942" max="4942" width="29.140625" customWidth="1"/>
    <col min="4943" max="4943" width="15.7109375" customWidth="1"/>
    <col min="4944" max="4945" width="6.42578125" customWidth="1"/>
    <col min="4946" max="4946" width="24.5703125" customWidth="1"/>
    <col min="4947" max="4947" width="34.7109375" customWidth="1"/>
    <col min="4948" max="4948" width="16.42578125" customWidth="1"/>
    <col min="4949" max="4949" width="16" bestFit="1" customWidth="1"/>
    <col min="4950" max="4950" width="29.140625" customWidth="1"/>
    <col min="4951" max="4951" width="15.7109375" customWidth="1"/>
    <col min="4952" max="4953" width="6.42578125" customWidth="1"/>
    <col min="4954" max="4954" width="24.5703125" customWidth="1"/>
    <col min="4955" max="4955" width="34.7109375" customWidth="1"/>
    <col min="4956" max="4956" width="16.42578125" customWidth="1"/>
    <col min="4957" max="4957" width="16" bestFit="1" customWidth="1"/>
    <col min="4958" max="4958" width="29.140625" customWidth="1"/>
    <col min="4959" max="4959" width="15.7109375" customWidth="1"/>
    <col min="4960" max="4961" width="6.42578125" customWidth="1"/>
    <col min="4962" max="4962" width="24.5703125" customWidth="1"/>
    <col min="4963" max="4963" width="34.7109375" customWidth="1"/>
    <col min="4964" max="4964" width="16.42578125" customWidth="1"/>
    <col min="4965" max="4965" width="16" bestFit="1" customWidth="1"/>
    <col min="4966" max="4966" width="29.140625" customWidth="1"/>
    <col min="4967" max="4967" width="15.7109375" customWidth="1"/>
    <col min="4968" max="4969" width="6.42578125" customWidth="1"/>
    <col min="4970" max="4970" width="24.5703125" customWidth="1"/>
    <col min="4971" max="4971" width="34.7109375" customWidth="1"/>
    <col min="4972" max="4972" width="16.42578125" customWidth="1"/>
    <col min="4973" max="4973" width="16" bestFit="1" customWidth="1"/>
    <col min="4974" max="4974" width="29.140625" customWidth="1"/>
    <col min="4975" max="4975" width="15.7109375" customWidth="1"/>
    <col min="4976" max="4977" width="6.42578125" customWidth="1"/>
    <col min="4978" max="4978" width="24.5703125" customWidth="1"/>
    <col min="4979" max="4979" width="34.7109375" customWidth="1"/>
    <col min="4980" max="4980" width="16.42578125" customWidth="1"/>
    <col min="4981" max="4981" width="16" bestFit="1" customWidth="1"/>
    <col min="4982" max="4982" width="29.140625" customWidth="1"/>
    <col min="4983" max="4983" width="15.7109375" customWidth="1"/>
    <col min="4984" max="4985" width="6.42578125" customWidth="1"/>
    <col min="4986" max="4986" width="24.5703125" customWidth="1"/>
    <col min="4987" max="4987" width="34.7109375" customWidth="1"/>
    <col min="4988" max="4988" width="16.42578125" customWidth="1"/>
    <col min="4989" max="4989" width="16" bestFit="1" customWidth="1"/>
    <col min="4990" max="4990" width="29.140625" customWidth="1"/>
    <col min="4991" max="4991" width="15.7109375" customWidth="1"/>
    <col min="4992" max="4993" width="6.42578125" customWidth="1"/>
    <col min="4994" max="4994" width="24.5703125" customWidth="1"/>
    <col min="4995" max="4995" width="34.7109375" customWidth="1"/>
    <col min="4996" max="4996" width="16.42578125" customWidth="1"/>
    <col min="4997" max="4997" width="16" bestFit="1" customWidth="1"/>
    <col min="4998" max="4998" width="29.140625" customWidth="1"/>
    <col min="4999" max="4999" width="15.7109375" customWidth="1"/>
    <col min="5000" max="5001" width="6.42578125" customWidth="1"/>
    <col min="5002" max="5002" width="24.5703125" customWidth="1"/>
    <col min="5003" max="5003" width="34.7109375" customWidth="1"/>
    <col min="5004" max="5004" width="16.42578125" customWidth="1"/>
    <col min="5005" max="5005" width="16" bestFit="1" customWidth="1"/>
    <col min="5006" max="5006" width="29.140625" customWidth="1"/>
    <col min="5007" max="5007" width="15.7109375" customWidth="1"/>
    <col min="5008" max="5009" width="6.42578125" customWidth="1"/>
    <col min="5010" max="5010" width="24.5703125" customWidth="1"/>
    <col min="5011" max="5011" width="34.7109375" customWidth="1"/>
    <col min="5012" max="5012" width="16.42578125" customWidth="1"/>
    <col min="5013" max="5013" width="16" bestFit="1" customWidth="1"/>
    <col min="5014" max="5014" width="29.140625" customWidth="1"/>
    <col min="5015" max="5015" width="15.7109375" customWidth="1"/>
    <col min="5016" max="5017" width="6.42578125" customWidth="1"/>
    <col min="5018" max="5018" width="24.5703125" customWidth="1"/>
    <col min="5019" max="5019" width="34.7109375" customWidth="1"/>
    <col min="5020" max="5020" width="16.42578125" customWidth="1"/>
    <col min="5021" max="5021" width="16" bestFit="1" customWidth="1"/>
    <col min="5022" max="5022" width="29.140625" customWidth="1"/>
    <col min="5023" max="5023" width="15.7109375" customWidth="1"/>
    <col min="5024" max="5025" width="6.42578125" customWidth="1"/>
    <col min="5026" max="5026" width="24.5703125" customWidth="1"/>
    <col min="5027" max="5027" width="34.7109375" customWidth="1"/>
    <col min="5028" max="5028" width="16.42578125" customWidth="1"/>
    <col min="5029" max="5029" width="16" bestFit="1" customWidth="1"/>
    <col min="5030" max="5030" width="29.140625" customWidth="1"/>
    <col min="5031" max="5031" width="15.7109375" customWidth="1"/>
    <col min="5032" max="5033" width="6.42578125" customWidth="1"/>
    <col min="5034" max="5034" width="24.5703125" customWidth="1"/>
    <col min="5035" max="5035" width="34.7109375" customWidth="1"/>
    <col min="5036" max="5036" width="16.42578125" customWidth="1"/>
    <col min="5037" max="5037" width="16" bestFit="1" customWidth="1"/>
    <col min="5038" max="5038" width="29.140625" customWidth="1"/>
    <col min="5039" max="5039" width="15.7109375" customWidth="1"/>
    <col min="5040" max="5041" width="6.42578125" customWidth="1"/>
    <col min="5042" max="5042" width="24.5703125" customWidth="1"/>
    <col min="5043" max="5043" width="34.7109375" customWidth="1"/>
    <col min="5044" max="5044" width="16.42578125" customWidth="1"/>
    <col min="5045" max="5045" width="16" bestFit="1" customWidth="1"/>
    <col min="5046" max="5046" width="29.140625" customWidth="1"/>
    <col min="5047" max="5047" width="15.7109375" customWidth="1"/>
    <col min="5048" max="5049" width="6.42578125" customWidth="1"/>
    <col min="5050" max="5050" width="24.5703125" customWidth="1"/>
    <col min="5051" max="5051" width="34.7109375" customWidth="1"/>
    <col min="5052" max="5052" width="16.42578125" customWidth="1"/>
    <col min="5053" max="5053" width="16" bestFit="1" customWidth="1"/>
    <col min="5054" max="5054" width="29.140625" customWidth="1"/>
    <col min="5055" max="5055" width="15.7109375" customWidth="1"/>
    <col min="5056" max="5057" width="6.42578125" customWidth="1"/>
    <col min="5058" max="5058" width="24.5703125" customWidth="1"/>
    <col min="5059" max="5059" width="34.7109375" customWidth="1"/>
    <col min="5060" max="5060" width="16.42578125" customWidth="1"/>
    <col min="5061" max="5061" width="16" bestFit="1" customWidth="1"/>
    <col min="5062" max="5062" width="29.140625" customWidth="1"/>
    <col min="5063" max="5063" width="15.7109375" customWidth="1"/>
    <col min="5064" max="5065" width="6.42578125" customWidth="1"/>
    <col min="5066" max="5066" width="24.5703125" customWidth="1"/>
    <col min="5067" max="5067" width="34.7109375" customWidth="1"/>
    <col min="5068" max="5068" width="16.42578125" customWidth="1"/>
    <col min="5069" max="5069" width="16" bestFit="1" customWidth="1"/>
    <col min="5070" max="5070" width="29.140625" customWidth="1"/>
    <col min="5071" max="5071" width="15.7109375" customWidth="1"/>
    <col min="5072" max="5073" width="6.42578125" customWidth="1"/>
    <col min="5074" max="5074" width="24.5703125" customWidth="1"/>
    <col min="5075" max="5075" width="34.7109375" customWidth="1"/>
    <col min="5076" max="5076" width="16.42578125" customWidth="1"/>
    <col min="5077" max="5077" width="16" bestFit="1" customWidth="1"/>
    <col min="5078" max="5078" width="29.140625" customWidth="1"/>
    <col min="5079" max="5079" width="15.7109375" customWidth="1"/>
    <col min="5080" max="5081" width="6.42578125" customWidth="1"/>
    <col min="5082" max="5082" width="24.5703125" customWidth="1"/>
    <col min="5083" max="5083" width="34.7109375" customWidth="1"/>
    <col min="5084" max="5084" width="16.42578125" customWidth="1"/>
    <col min="5085" max="5085" width="16" bestFit="1" customWidth="1"/>
    <col min="5086" max="5086" width="29.140625" customWidth="1"/>
    <col min="5087" max="5087" width="15.7109375" customWidth="1"/>
    <col min="5088" max="5089" width="6.42578125" customWidth="1"/>
    <col min="5090" max="5090" width="24.5703125" customWidth="1"/>
    <col min="5091" max="5091" width="34.7109375" customWidth="1"/>
    <col min="5092" max="5092" width="16.42578125" customWidth="1"/>
    <col min="5093" max="5093" width="16" bestFit="1" customWidth="1"/>
    <col min="5094" max="5094" width="29.140625" customWidth="1"/>
    <col min="5095" max="5095" width="15.7109375" customWidth="1"/>
    <col min="5096" max="5097" width="6.42578125" customWidth="1"/>
    <col min="5098" max="5098" width="24.5703125" customWidth="1"/>
    <col min="5099" max="5099" width="34.7109375" customWidth="1"/>
    <col min="5100" max="5100" width="16.42578125" customWidth="1"/>
    <col min="5101" max="5101" width="16" bestFit="1" customWidth="1"/>
    <col min="5102" max="5102" width="29.140625" customWidth="1"/>
    <col min="5103" max="5103" width="15.7109375" customWidth="1"/>
    <col min="5104" max="5105" width="6.42578125" customWidth="1"/>
    <col min="5106" max="5106" width="24.5703125" customWidth="1"/>
    <col min="5107" max="5107" width="34.7109375" customWidth="1"/>
    <col min="5108" max="5108" width="16.42578125" customWidth="1"/>
    <col min="5109" max="5109" width="16" bestFit="1" customWidth="1"/>
    <col min="5110" max="5110" width="29.140625" customWidth="1"/>
    <col min="5111" max="5111" width="15.7109375" customWidth="1"/>
    <col min="5112" max="5113" width="6.42578125" customWidth="1"/>
    <col min="5114" max="5114" width="24.5703125" customWidth="1"/>
    <col min="5115" max="5115" width="34.7109375" customWidth="1"/>
    <col min="5116" max="5116" width="16.42578125" customWidth="1"/>
    <col min="5117" max="5117" width="16" bestFit="1" customWidth="1"/>
    <col min="5118" max="5118" width="29.140625" customWidth="1"/>
    <col min="5119" max="5119" width="15.7109375" customWidth="1"/>
    <col min="5120" max="5121" width="6.42578125" customWidth="1"/>
    <col min="5122" max="5122" width="24.5703125" customWidth="1"/>
    <col min="5123" max="5123" width="34.7109375" customWidth="1"/>
    <col min="5124" max="5124" width="16.42578125" customWidth="1"/>
    <col min="5125" max="5125" width="16" bestFit="1" customWidth="1"/>
    <col min="5126" max="5126" width="29.140625" customWidth="1"/>
    <col min="5127" max="5127" width="15.7109375" customWidth="1"/>
    <col min="5128" max="5129" width="6.42578125" customWidth="1"/>
    <col min="5130" max="5130" width="24.5703125" customWidth="1"/>
    <col min="5131" max="5131" width="34.7109375" customWidth="1"/>
    <col min="5132" max="5132" width="16.42578125" customWidth="1"/>
    <col min="5133" max="5133" width="16" bestFit="1" customWidth="1"/>
    <col min="5134" max="5134" width="29.140625" customWidth="1"/>
    <col min="5135" max="5135" width="15.7109375" customWidth="1"/>
    <col min="5136" max="5137" width="6.42578125" customWidth="1"/>
    <col min="5138" max="5138" width="24.5703125" customWidth="1"/>
    <col min="5139" max="5139" width="34.7109375" customWidth="1"/>
    <col min="5140" max="5140" width="16.42578125" customWidth="1"/>
    <col min="5141" max="5141" width="16" bestFit="1" customWidth="1"/>
    <col min="5142" max="5142" width="29.140625" customWidth="1"/>
    <col min="5143" max="5143" width="15.7109375" customWidth="1"/>
    <col min="5144" max="5145" width="6.42578125" customWidth="1"/>
    <col min="5146" max="5146" width="24.5703125" customWidth="1"/>
    <col min="5147" max="5147" width="34.7109375" customWidth="1"/>
    <col min="5148" max="5148" width="16.42578125" customWidth="1"/>
    <col min="5149" max="5149" width="16" bestFit="1" customWidth="1"/>
    <col min="5150" max="5150" width="29.140625" customWidth="1"/>
    <col min="5151" max="5151" width="15.7109375" customWidth="1"/>
    <col min="5152" max="5153" width="6.42578125" customWidth="1"/>
    <col min="5154" max="5154" width="24.5703125" customWidth="1"/>
    <col min="5155" max="5155" width="34.7109375" customWidth="1"/>
    <col min="5156" max="5156" width="16.42578125" customWidth="1"/>
    <col min="5157" max="5157" width="16" bestFit="1" customWidth="1"/>
    <col min="5158" max="5158" width="29.140625" customWidth="1"/>
    <col min="5159" max="5159" width="15.7109375" customWidth="1"/>
    <col min="5160" max="5161" width="6.42578125" customWidth="1"/>
    <col min="5162" max="5162" width="24.5703125" customWidth="1"/>
    <col min="5163" max="5163" width="34.7109375" customWidth="1"/>
    <col min="5164" max="5164" width="16.42578125" customWidth="1"/>
    <col min="5165" max="5165" width="16" bestFit="1" customWidth="1"/>
    <col min="5166" max="5166" width="29.140625" customWidth="1"/>
    <col min="5167" max="5167" width="15.7109375" customWidth="1"/>
    <col min="5168" max="5169" width="6.42578125" customWidth="1"/>
    <col min="5170" max="5170" width="24.5703125" customWidth="1"/>
    <col min="5171" max="5171" width="34.7109375" customWidth="1"/>
    <col min="5172" max="5172" width="16.42578125" customWidth="1"/>
    <col min="5173" max="5173" width="16" bestFit="1" customWidth="1"/>
    <col min="5174" max="5174" width="29.140625" customWidth="1"/>
    <col min="5175" max="5175" width="15.7109375" customWidth="1"/>
    <col min="5176" max="5177" width="6.42578125" customWidth="1"/>
    <col min="5178" max="5178" width="24.5703125" customWidth="1"/>
    <col min="5179" max="5179" width="34.7109375" customWidth="1"/>
    <col min="5180" max="5180" width="16.42578125" customWidth="1"/>
    <col min="5181" max="5181" width="16" bestFit="1" customWidth="1"/>
    <col min="5182" max="5182" width="29.140625" customWidth="1"/>
    <col min="5183" max="5183" width="15.7109375" customWidth="1"/>
    <col min="5184" max="5185" width="6.42578125" customWidth="1"/>
    <col min="5186" max="5186" width="24.5703125" customWidth="1"/>
    <col min="5187" max="5187" width="34.7109375" customWidth="1"/>
    <col min="5188" max="5188" width="16.42578125" customWidth="1"/>
    <col min="5189" max="5189" width="16" bestFit="1" customWidth="1"/>
    <col min="5190" max="5190" width="29.140625" customWidth="1"/>
    <col min="5191" max="5191" width="15.7109375" customWidth="1"/>
    <col min="5192" max="5193" width="6.42578125" customWidth="1"/>
    <col min="5194" max="5194" width="24.5703125" customWidth="1"/>
    <col min="5195" max="5195" width="34.7109375" customWidth="1"/>
    <col min="5196" max="5196" width="16.42578125" customWidth="1"/>
    <col min="5197" max="5197" width="16" bestFit="1" customWidth="1"/>
    <col min="5198" max="5198" width="29.140625" customWidth="1"/>
    <col min="5199" max="5199" width="15.7109375" customWidth="1"/>
    <col min="5200" max="5201" width="6.42578125" customWidth="1"/>
    <col min="5202" max="5202" width="24.5703125" customWidth="1"/>
    <col min="5203" max="5203" width="34.7109375" customWidth="1"/>
    <col min="5204" max="5204" width="16.42578125" customWidth="1"/>
    <col min="5205" max="5205" width="16" bestFit="1" customWidth="1"/>
    <col min="5206" max="5206" width="29.140625" customWidth="1"/>
    <col min="5207" max="5207" width="15.7109375" customWidth="1"/>
    <col min="5208" max="5209" width="6.42578125" customWidth="1"/>
    <col min="5210" max="5210" width="24.5703125" customWidth="1"/>
    <col min="5211" max="5211" width="34.7109375" customWidth="1"/>
    <col min="5212" max="5212" width="16.42578125" customWidth="1"/>
    <col min="5213" max="5213" width="16" bestFit="1" customWidth="1"/>
    <col min="5214" max="5214" width="29.140625" customWidth="1"/>
    <col min="5215" max="5215" width="15.7109375" customWidth="1"/>
    <col min="5216" max="5217" width="6.42578125" customWidth="1"/>
    <col min="5218" max="5218" width="24.5703125" customWidth="1"/>
    <col min="5219" max="5219" width="34.7109375" customWidth="1"/>
    <col min="5220" max="5220" width="16.42578125" customWidth="1"/>
    <col min="5221" max="5221" width="16" bestFit="1" customWidth="1"/>
    <col min="5222" max="5222" width="29.140625" customWidth="1"/>
    <col min="5223" max="5223" width="15.7109375" customWidth="1"/>
    <col min="5224" max="5225" width="6.42578125" customWidth="1"/>
    <col min="5226" max="5226" width="24.5703125" customWidth="1"/>
    <col min="5227" max="5227" width="34.7109375" customWidth="1"/>
    <col min="5228" max="5228" width="16.42578125" customWidth="1"/>
    <col min="5229" max="5229" width="16" bestFit="1" customWidth="1"/>
    <col min="5230" max="5230" width="29.140625" customWidth="1"/>
    <col min="5231" max="5231" width="15.7109375" customWidth="1"/>
    <col min="5232" max="5233" width="6.42578125" customWidth="1"/>
    <col min="5234" max="5234" width="24.5703125" customWidth="1"/>
    <col min="5235" max="5235" width="34.7109375" customWidth="1"/>
    <col min="5236" max="5236" width="16.42578125" customWidth="1"/>
    <col min="5237" max="5237" width="16" bestFit="1" customWidth="1"/>
    <col min="5238" max="5238" width="29.140625" customWidth="1"/>
    <col min="5239" max="5239" width="15.7109375" customWidth="1"/>
    <col min="5240" max="5241" width="6.42578125" customWidth="1"/>
    <col min="5242" max="5242" width="24.5703125" customWidth="1"/>
    <col min="5243" max="5243" width="34.7109375" customWidth="1"/>
    <col min="5244" max="5244" width="16.42578125" customWidth="1"/>
    <col min="5245" max="5245" width="16" bestFit="1" customWidth="1"/>
    <col min="5246" max="5246" width="29.140625" customWidth="1"/>
    <col min="5247" max="5247" width="15.7109375" customWidth="1"/>
    <col min="5248" max="5249" width="6.42578125" customWidth="1"/>
    <col min="5250" max="5250" width="24.5703125" customWidth="1"/>
    <col min="5251" max="5251" width="34.7109375" customWidth="1"/>
    <col min="5252" max="5252" width="16.42578125" customWidth="1"/>
    <col min="5253" max="5253" width="16" bestFit="1" customWidth="1"/>
    <col min="5254" max="5254" width="29.140625" customWidth="1"/>
    <col min="5255" max="5255" width="15.7109375" customWidth="1"/>
    <col min="5256" max="5257" width="6.42578125" customWidth="1"/>
    <col min="5258" max="5258" width="24.5703125" customWidth="1"/>
    <col min="5259" max="5259" width="34.7109375" customWidth="1"/>
    <col min="5260" max="5260" width="16.42578125" customWidth="1"/>
    <col min="5261" max="5261" width="16" bestFit="1" customWidth="1"/>
    <col min="5262" max="5262" width="29.140625" customWidth="1"/>
    <col min="5263" max="5263" width="15.7109375" customWidth="1"/>
    <col min="5264" max="5265" width="6.42578125" customWidth="1"/>
    <col min="5266" max="5266" width="24.5703125" customWidth="1"/>
    <col min="5267" max="5267" width="34.7109375" customWidth="1"/>
    <col min="5268" max="5268" width="16.42578125" customWidth="1"/>
    <col min="5269" max="5269" width="16" bestFit="1" customWidth="1"/>
    <col min="5270" max="5270" width="29.140625" customWidth="1"/>
    <col min="5271" max="5271" width="15.7109375" customWidth="1"/>
    <col min="5272" max="5273" width="6.42578125" customWidth="1"/>
    <col min="5274" max="5274" width="24.5703125" customWidth="1"/>
    <col min="5275" max="5275" width="34.7109375" customWidth="1"/>
    <col min="5276" max="5276" width="16.42578125" customWidth="1"/>
    <col min="5277" max="5277" width="16" bestFit="1" customWidth="1"/>
    <col min="5278" max="5278" width="29.140625" customWidth="1"/>
    <col min="5279" max="5279" width="15.7109375" customWidth="1"/>
    <col min="5280" max="5281" width="6.42578125" customWidth="1"/>
    <col min="5282" max="5282" width="24.5703125" customWidth="1"/>
    <col min="5283" max="5283" width="34.7109375" customWidth="1"/>
    <col min="5284" max="5284" width="16.42578125" customWidth="1"/>
    <col min="5285" max="5285" width="16" bestFit="1" customWidth="1"/>
    <col min="5286" max="5286" width="29.140625" customWidth="1"/>
    <col min="5287" max="5287" width="15.7109375" customWidth="1"/>
    <col min="5288" max="5289" width="6.42578125" customWidth="1"/>
    <col min="5290" max="5290" width="24.5703125" customWidth="1"/>
    <col min="5291" max="5291" width="34.7109375" customWidth="1"/>
    <col min="5292" max="5292" width="16.42578125" customWidth="1"/>
    <col min="5293" max="5293" width="16" bestFit="1" customWidth="1"/>
    <col min="5294" max="5294" width="29.140625" customWidth="1"/>
    <col min="5295" max="5295" width="15.7109375" customWidth="1"/>
    <col min="5296" max="5297" width="6.42578125" customWidth="1"/>
    <col min="5298" max="5298" width="24.5703125" customWidth="1"/>
    <col min="5299" max="5299" width="34.7109375" customWidth="1"/>
    <col min="5300" max="5300" width="16.42578125" customWidth="1"/>
    <col min="5301" max="5301" width="16" bestFit="1" customWidth="1"/>
    <col min="5302" max="5302" width="29.140625" customWidth="1"/>
    <col min="5303" max="5303" width="15.7109375" customWidth="1"/>
    <col min="5304" max="5305" width="6.42578125" customWidth="1"/>
    <col min="5306" max="5306" width="24.5703125" customWidth="1"/>
    <col min="5307" max="5307" width="34.7109375" customWidth="1"/>
    <col min="5308" max="5308" width="16.42578125" customWidth="1"/>
    <col min="5309" max="5309" width="16" bestFit="1" customWidth="1"/>
    <col min="5310" max="5310" width="29.140625" customWidth="1"/>
    <col min="5311" max="5311" width="15.7109375" customWidth="1"/>
    <col min="5312" max="5313" width="6.42578125" customWidth="1"/>
    <col min="5314" max="5314" width="24.5703125" customWidth="1"/>
    <col min="5315" max="5315" width="34.7109375" customWidth="1"/>
    <col min="5316" max="5316" width="16.42578125" customWidth="1"/>
    <col min="5317" max="5317" width="16" bestFit="1" customWidth="1"/>
    <col min="5318" max="5318" width="29.140625" customWidth="1"/>
    <col min="5319" max="5319" width="15.7109375" customWidth="1"/>
    <col min="5320" max="5321" width="6.42578125" customWidth="1"/>
    <col min="5322" max="5322" width="24.5703125" customWidth="1"/>
    <col min="5323" max="5323" width="34.7109375" customWidth="1"/>
    <col min="5324" max="5324" width="16.42578125" customWidth="1"/>
    <col min="5325" max="5325" width="16" bestFit="1" customWidth="1"/>
    <col min="5326" max="5326" width="29.140625" customWidth="1"/>
    <col min="5327" max="5327" width="15.7109375" customWidth="1"/>
    <col min="5328" max="5329" width="6.42578125" customWidth="1"/>
    <col min="5330" max="5330" width="24.5703125" customWidth="1"/>
    <col min="5331" max="5331" width="34.7109375" customWidth="1"/>
    <col min="5332" max="5332" width="16.42578125" customWidth="1"/>
    <col min="5333" max="5333" width="16" bestFit="1" customWidth="1"/>
    <col min="5334" max="5334" width="29.140625" customWidth="1"/>
    <col min="5335" max="5335" width="15.7109375" customWidth="1"/>
    <col min="5336" max="5337" width="6.42578125" customWidth="1"/>
    <col min="5338" max="5338" width="24.5703125" customWidth="1"/>
    <col min="5339" max="5339" width="34.7109375" customWidth="1"/>
    <col min="5340" max="5340" width="16.42578125" customWidth="1"/>
    <col min="5341" max="5341" width="16" bestFit="1" customWidth="1"/>
    <col min="5342" max="5342" width="29.140625" customWidth="1"/>
    <col min="5343" max="5343" width="15.7109375" customWidth="1"/>
    <col min="5344" max="5345" width="6.42578125" customWidth="1"/>
    <col min="5346" max="5346" width="24.5703125" customWidth="1"/>
    <col min="5347" max="5347" width="34.7109375" customWidth="1"/>
    <col min="5348" max="5348" width="16.42578125" customWidth="1"/>
    <col min="5349" max="5349" width="16" bestFit="1" customWidth="1"/>
    <col min="5350" max="5350" width="29.140625" customWidth="1"/>
    <col min="5351" max="5351" width="15.7109375" customWidth="1"/>
    <col min="5352" max="5353" width="6.42578125" customWidth="1"/>
    <col min="5354" max="5354" width="24.5703125" customWidth="1"/>
    <col min="5355" max="5355" width="34.7109375" customWidth="1"/>
    <col min="5356" max="5356" width="16.42578125" customWidth="1"/>
    <col min="5357" max="5357" width="16" bestFit="1" customWidth="1"/>
    <col min="5358" max="5358" width="29.140625" customWidth="1"/>
    <col min="5359" max="5359" width="15.7109375" customWidth="1"/>
    <col min="5360" max="5361" width="6.42578125" customWidth="1"/>
    <col min="5362" max="5362" width="24.5703125" customWidth="1"/>
    <col min="5363" max="5363" width="34.7109375" customWidth="1"/>
    <col min="5364" max="5364" width="16.42578125" customWidth="1"/>
    <col min="5365" max="5365" width="16" bestFit="1" customWidth="1"/>
    <col min="5366" max="5366" width="29.140625" customWidth="1"/>
    <col min="5367" max="5367" width="15.7109375" customWidth="1"/>
    <col min="5368" max="5369" width="6.42578125" customWidth="1"/>
    <col min="5370" max="5370" width="24.5703125" customWidth="1"/>
    <col min="5371" max="5371" width="34.7109375" customWidth="1"/>
    <col min="5372" max="5372" width="16.42578125" customWidth="1"/>
    <col min="5373" max="5373" width="16" bestFit="1" customWidth="1"/>
    <col min="5374" max="5374" width="29.140625" customWidth="1"/>
    <col min="5375" max="5375" width="15.7109375" customWidth="1"/>
    <col min="5376" max="5377" width="6.42578125" customWidth="1"/>
    <col min="5378" max="5378" width="24.5703125" customWidth="1"/>
    <col min="5379" max="5379" width="34.7109375" customWidth="1"/>
    <col min="5380" max="5380" width="16.42578125" customWidth="1"/>
    <col min="5381" max="5381" width="16" bestFit="1" customWidth="1"/>
    <col min="5382" max="5382" width="29.140625" customWidth="1"/>
    <col min="5383" max="5383" width="15.7109375" customWidth="1"/>
    <col min="5384" max="5385" width="6.42578125" customWidth="1"/>
    <col min="5386" max="5386" width="24.5703125" customWidth="1"/>
    <col min="5387" max="5387" width="34.7109375" customWidth="1"/>
    <col min="5388" max="5388" width="16.42578125" customWidth="1"/>
    <col min="5389" max="5389" width="16" bestFit="1" customWidth="1"/>
    <col min="5390" max="5390" width="29.140625" customWidth="1"/>
    <col min="5391" max="5391" width="15.7109375" customWidth="1"/>
    <col min="5392" max="5393" width="6.42578125" customWidth="1"/>
    <col min="5394" max="5394" width="24.5703125" customWidth="1"/>
    <col min="5395" max="5395" width="34.7109375" customWidth="1"/>
    <col min="5396" max="5396" width="16.42578125" customWidth="1"/>
    <col min="5397" max="5397" width="16" bestFit="1" customWidth="1"/>
    <col min="5398" max="5398" width="29.140625" customWidth="1"/>
    <col min="5399" max="5399" width="15.7109375" customWidth="1"/>
    <col min="5400" max="5401" width="6.42578125" customWidth="1"/>
    <col min="5402" max="5402" width="24.5703125" customWidth="1"/>
    <col min="5403" max="5403" width="34.7109375" customWidth="1"/>
    <col min="5404" max="5404" width="16.42578125" customWidth="1"/>
    <col min="5405" max="5405" width="16" bestFit="1" customWidth="1"/>
    <col min="5406" max="5406" width="29.140625" customWidth="1"/>
    <col min="5407" max="5407" width="15.7109375" customWidth="1"/>
    <col min="5408" max="5409" width="6.42578125" customWidth="1"/>
    <col min="5410" max="5410" width="24.5703125" customWidth="1"/>
    <col min="5411" max="5411" width="34.7109375" customWidth="1"/>
    <col min="5412" max="5412" width="16.42578125" customWidth="1"/>
    <col min="5413" max="5413" width="16" bestFit="1" customWidth="1"/>
    <col min="5414" max="5414" width="29.140625" customWidth="1"/>
    <col min="5415" max="5415" width="15.7109375" customWidth="1"/>
    <col min="5416" max="5417" width="6.42578125" customWidth="1"/>
    <col min="5418" max="5418" width="24.5703125" customWidth="1"/>
    <col min="5419" max="5419" width="34.7109375" customWidth="1"/>
    <col min="5420" max="5420" width="16.42578125" customWidth="1"/>
    <col min="5421" max="5421" width="16" bestFit="1" customWidth="1"/>
    <col min="5422" max="5422" width="29.140625" customWidth="1"/>
    <col min="5423" max="5423" width="15.7109375" customWidth="1"/>
    <col min="5424" max="5425" width="6.42578125" customWidth="1"/>
    <col min="5426" max="5426" width="24.5703125" customWidth="1"/>
    <col min="5427" max="5427" width="34.7109375" customWidth="1"/>
    <col min="5428" max="5428" width="16.42578125" customWidth="1"/>
    <col min="5429" max="5429" width="16" bestFit="1" customWidth="1"/>
    <col min="5430" max="5430" width="29.140625" customWidth="1"/>
    <col min="5431" max="5431" width="15.7109375" customWidth="1"/>
    <col min="5432" max="5433" width="6.42578125" customWidth="1"/>
    <col min="5434" max="5434" width="24.5703125" customWidth="1"/>
    <col min="5435" max="5435" width="34.7109375" customWidth="1"/>
    <col min="5436" max="5436" width="16.42578125" customWidth="1"/>
    <col min="5437" max="5437" width="16" bestFit="1" customWidth="1"/>
    <col min="5438" max="5438" width="29.140625" customWidth="1"/>
    <col min="5439" max="5439" width="15.7109375" customWidth="1"/>
    <col min="5440" max="5441" width="6.42578125" customWidth="1"/>
    <col min="5442" max="5442" width="24.5703125" customWidth="1"/>
    <col min="5443" max="5443" width="34.7109375" customWidth="1"/>
    <col min="5444" max="5444" width="16.42578125" customWidth="1"/>
    <col min="5445" max="5445" width="16" bestFit="1" customWidth="1"/>
    <col min="5446" max="5446" width="29.140625" customWidth="1"/>
    <col min="5447" max="5447" width="15.7109375" customWidth="1"/>
    <col min="5448" max="5449" width="6.42578125" customWidth="1"/>
    <col min="5450" max="5450" width="24.5703125" customWidth="1"/>
    <col min="5451" max="5451" width="34.7109375" customWidth="1"/>
    <col min="5452" max="5452" width="16.42578125" customWidth="1"/>
    <col min="5453" max="5453" width="16" bestFit="1" customWidth="1"/>
    <col min="5454" max="5454" width="29.140625" customWidth="1"/>
    <col min="5455" max="5455" width="15.7109375" customWidth="1"/>
    <col min="5456" max="5457" width="6.42578125" customWidth="1"/>
    <col min="5458" max="5458" width="24.5703125" customWidth="1"/>
    <col min="5459" max="5459" width="34.7109375" customWidth="1"/>
    <col min="5460" max="5460" width="16.42578125" customWidth="1"/>
    <col min="5461" max="5461" width="16" bestFit="1" customWidth="1"/>
    <col min="5462" max="5462" width="29.140625" customWidth="1"/>
    <col min="5463" max="5463" width="15.7109375" customWidth="1"/>
    <col min="5464" max="5465" width="6.42578125" customWidth="1"/>
    <col min="5466" max="5466" width="24.5703125" customWidth="1"/>
    <col min="5467" max="5467" width="34.7109375" customWidth="1"/>
    <col min="5468" max="5468" width="16.42578125" customWidth="1"/>
    <col min="5469" max="5469" width="16" bestFit="1" customWidth="1"/>
    <col min="5470" max="5470" width="29.140625" customWidth="1"/>
    <col min="5471" max="5471" width="15.7109375" customWidth="1"/>
    <col min="5472" max="5473" width="6.42578125" customWidth="1"/>
    <col min="5474" max="5474" width="24.5703125" customWidth="1"/>
    <col min="5475" max="5475" width="34.7109375" customWidth="1"/>
    <col min="5476" max="5476" width="16.42578125" customWidth="1"/>
    <col min="5477" max="5477" width="16" bestFit="1" customWidth="1"/>
    <col min="5478" max="5478" width="29.140625" customWidth="1"/>
    <col min="5479" max="5479" width="15.7109375" customWidth="1"/>
    <col min="5480" max="5481" width="6.42578125" customWidth="1"/>
    <col min="5482" max="5482" width="24.5703125" customWidth="1"/>
    <col min="5483" max="5483" width="34.7109375" customWidth="1"/>
    <col min="5484" max="5484" width="16.42578125" customWidth="1"/>
    <col min="5485" max="5485" width="16" bestFit="1" customWidth="1"/>
    <col min="5486" max="5486" width="29.140625" customWidth="1"/>
    <col min="5487" max="5487" width="15.7109375" customWidth="1"/>
    <col min="5488" max="5489" width="6.42578125" customWidth="1"/>
    <col min="5490" max="5490" width="24.5703125" customWidth="1"/>
    <col min="5491" max="5491" width="34.7109375" customWidth="1"/>
    <col min="5492" max="5492" width="16.42578125" customWidth="1"/>
    <col min="5493" max="5493" width="16" bestFit="1" customWidth="1"/>
    <col min="5494" max="5494" width="29.140625" customWidth="1"/>
    <col min="5495" max="5495" width="15.7109375" customWidth="1"/>
    <col min="5496" max="5497" width="6.42578125" customWidth="1"/>
    <col min="5498" max="5498" width="24.5703125" customWidth="1"/>
    <col min="5499" max="5499" width="34.7109375" customWidth="1"/>
    <col min="5500" max="5500" width="16.42578125" customWidth="1"/>
    <col min="5501" max="5501" width="16" bestFit="1" customWidth="1"/>
    <col min="5502" max="5502" width="29.140625" customWidth="1"/>
    <col min="5503" max="5503" width="15.7109375" customWidth="1"/>
    <col min="5504" max="5505" width="6.42578125" customWidth="1"/>
    <col min="5506" max="5506" width="24.5703125" customWidth="1"/>
    <col min="5507" max="5507" width="34.7109375" customWidth="1"/>
    <col min="5508" max="5508" width="16.42578125" customWidth="1"/>
    <col min="5509" max="5509" width="16" bestFit="1" customWidth="1"/>
    <col min="5510" max="5510" width="29.140625" customWidth="1"/>
    <col min="5511" max="5511" width="15.7109375" customWidth="1"/>
    <col min="5512" max="5513" width="6.42578125" customWidth="1"/>
    <col min="5514" max="5514" width="24.5703125" customWidth="1"/>
    <col min="5515" max="5515" width="34.7109375" customWidth="1"/>
    <col min="5516" max="5516" width="16.42578125" customWidth="1"/>
    <col min="5517" max="5517" width="16" bestFit="1" customWidth="1"/>
    <col min="5518" max="5518" width="29.140625" customWidth="1"/>
    <col min="5519" max="5519" width="15.7109375" customWidth="1"/>
    <col min="5520" max="5521" width="6.42578125" customWidth="1"/>
    <col min="5522" max="5522" width="24.5703125" customWidth="1"/>
    <col min="5523" max="5523" width="34.7109375" customWidth="1"/>
    <col min="5524" max="5524" width="16.42578125" customWidth="1"/>
    <col min="5525" max="5525" width="16" bestFit="1" customWidth="1"/>
    <col min="5526" max="5526" width="29.140625" customWidth="1"/>
    <col min="5527" max="5527" width="15.7109375" customWidth="1"/>
    <col min="5528" max="5529" width="6.42578125" customWidth="1"/>
    <col min="5530" max="5530" width="24.5703125" customWidth="1"/>
    <col min="5531" max="5531" width="34.7109375" customWidth="1"/>
    <col min="5532" max="5532" width="16.42578125" customWidth="1"/>
    <col min="5533" max="5533" width="16" bestFit="1" customWidth="1"/>
    <col min="5534" max="5534" width="29.140625" customWidth="1"/>
    <col min="5535" max="5535" width="15.7109375" customWidth="1"/>
    <col min="5536" max="5537" width="6.42578125" customWidth="1"/>
    <col min="5538" max="5538" width="24.5703125" customWidth="1"/>
    <col min="5539" max="5539" width="34.7109375" customWidth="1"/>
    <col min="5540" max="5540" width="16.42578125" customWidth="1"/>
    <col min="5541" max="5541" width="16" bestFit="1" customWidth="1"/>
    <col min="5542" max="5542" width="29.140625" customWidth="1"/>
    <col min="5543" max="5543" width="15.7109375" customWidth="1"/>
    <col min="5544" max="5545" width="6.42578125" customWidth="1"/>
    <col min="5546" max="5546" width="24.5703125" customWidth="1"/>
    <col min="5547" max="5547" width="34.7109375" customWidth="1"/>
    <col min="5548" max="5548" width="16.42578125" customWidth="1"/>
    <col min="5549" max="5549" width="16" bestFit="1" customWidth="1"/>
    <col min="5550" max="5550" width="29.140625" customWidth="1"/>
    <col min="5551" max="5551" width="15.7109375" customWidth="1"/>
    <col min="5552" max="5553" width="6.42578125" customWidth="1"/>
    <col min="5554" max="5554" width="24.5703125" customWidth="1"/>
    <col min="5555" max="5555" width="34.7109375" customWidth="1"/>
    <col min="5556" max="5556" width="16.42578125" customWidth="1"/>
    <col min="5557" max="5557" width="16" bestFit="1" customWidth="1"/>
    <col min="5558" max="5558" width="29.140625" customWidth="1"/>
    <col min="5559" max="5559" width="15.7109375" customWidth="1"/>
    <col min="5560" max="5561" width="6.42578125" customWidth="1"/>
    <col min="5562" max="5562" width="24.5703125" customWidth="1"/>
    <col min="5563" max="5563" width="34.7109375" customWidth="1"/>
    <col min="5564" max="5564" width="16.42578125" customWidth="1"/>
    <col min="5565" max="5565" width="16" bestFit="1" customWidth="1"/>
    <col min="5566" max="5566" width="29.140625" customWidth="1"/>
    <col min="5567" max="5567" width="15.7109375" customWidth="1"/>
    <col min="5568" max="5569" width="6.42578125" customWidth="1"/>
    <col min="5570" max="5570" width="24.5703125" customWidth="1"/>
    <col min="5571" max="5571" width="34.7109375" customWidth="1"/>
    <col min="5572" max="5572" width="16.42578125" customWidth="1"/>
    <col min="5573" max="5573" width="16" bestFit="1" customWidth="1"/>
    <col min="5574" max="5574" width="29.140625" customWidth="1"/>
    <col min="5575" max="5575" width="15.7109375" customWidth="1"/>
    <col min="5576" max="5577" width="6.42578125" customWidth="1"/>
    <col min="5578" max="5578" width="24.5703125" customWidth="1"/>
    <col min="5579" max="5579" width="34.7109375" customWidth="1"/>
    <col min="5580" max="5580" width="16.42578125" customWidth="1"/>
    <col min="5581" max="5581" width="16" bestFit="1" customWidth="1"/>
    <col min="5582" max="5582" width="29.140625" customWidth="1"/>
    <col min="5583" max="5583" width="15.7109375" customWidth="1"/>
    <col min="5584" max="5585" width="6.42578125" customWidth="1"/>
    <col min="5586" max="5586" width="24.5703125" customWidth="1"/>
    <col min="5587" max="5587" width="34.7109375" customWidth="1"/>
    <col min="5588" max="5588" width="16.42578125" customWidth="1"/>
    <col min="5589" max="5589" width="16" bestFit="1" customWidth="1"/>
    <col min="5590" max="5590" width="29.140625" customWidth="1"/>
    <col min="5591" max="5591" width="15.7109375" customWidth="1"/>
    <col min="5592" max="5593" width="6.42578125" customWidth="1"/>
    <col min="5594" max="5594" width="24.5703125" customWidth="1"/>
    <col min="5595" max="5595" width="34.7109375" customWidth="1"/>
    <col min="5596" max="5596" width="16.42578125" customWidth="1"/>
    <col min="5597" max="5597" width="16" bestFit="1" customWidth="1"/>
    <col min="5598" max="5598" width="29.140625" customWidth="1"/>
    <col min="5599" max="5599" width="15.7109375" customWidth="1"/>
    <col min="5600" max="5601" width="6.42578125" customWidth="1"/>
    <col min="5602" max="5602" width="24.5703125" customWidth="1"/>
    <col min="5603" max="5603" width="34.7109375" customWidth="1"/>
    <col min="5604" max="5604" width="16.42578125" customWidth="1"/>
    <col min="5605" max="5605" width="16" bestFit="1" customWidth="1"/>
    <col min="5606" max="5606" width="29.140625" customWidth="1"/>
    <col min="5607" max="5607" width="15.7109375" customWidth="1"/>
    <col min="5608" max="5609" width="6.42578125" customWidth="1"/>
    <col min="5610" max="5610" width="24.5703125" customWidth="1"/>
    <col min="5611" max="5611" width="34.7109375" customWidth="1"/>
    <col min="5612" max="5612" width="16.42578125" customWidth="1"/>
    <col min="5613" max="5613" width="16" bestFit="1" customWidth="1"/>
    <col min="5614" max="5614" width="29.140625" customWidth="1"/>
    <col min="5615" max="5615" width="15.7109375" customWidth="1"/>
    <col min="5616" max="5617" width="6.42578125" customWidth="1"/>
    <col min="5618" max="5618" width="24.5703125" customWidth="1"/>
    <col min="5619" max="5619" width="34.7109375" customWidth="1"/>
    <col min="5620" max="5620" width="16.42578125" customWidth="1"/>
    <col min="5621" max="5621" width="16" bestFit="1" customWidth="1"/>
    <col min="5622" max="5622" width="29.140625" customWidth="1"/>
    <col min="5623" max="5623" width="15.7109375" customWidth="1"/>
    <col min="5624" max="5625" width="6.42578125" customWidth="1"/>
    <col min="5626" max="5626" width="24.5703125" customWidth="1"/>
    <col min="5627" max="5627" width="34.7109375" customWidth="1"/>
    <col min="5628" max="5628" width="16.42578125" customWidth="1"/>
    <col min="5629" max="5629" width="16" bestFit="1" customWidth="1"/>
    <col min="5630" max="5630" width="29.140625" customWidth="1"/>
    <col min="5631" max="5631" width="15.7109375" customWidth="1"/>
    <col min="5632" max="5633" width="6.42578125" customWidth="1"/>
    <col min="5634" max="5634" width="24.5703125" customWidth="1"/>
    <col min="5635" max="5635" width="34.7109375" customWidth="1"/>
    <col min="5636" max="5636" width="16.42578125" customWidth="1"/>
    <col min="5637" max="5637" width="16" bestFit="1" customWidth="1"/>
    <col min="5638" max="5638" width="29.140625" customWidth="1"/>
    <col min="5639" max="5639" width="15.7109375" customWidth="1"/>
    <col min="5640" max="5641" width="6.42578125" customWidth="1"/>
    <col min="5642" max="5642" width="24.5703125" customWidth="1"/>
    <col min="5643" max="5643" width="34.7109375" customWidth="1"/>
    <col min="5644" max="5644" width="16.42578125" customWidth="1"/>
    <col min="5645" max="5645" width="16" bestFit="1" customWidth="1"/>
    <col min="5646" max="5646" width="29.140625" customWidth="1"/>
    <col min="5647" max="5647" width="15.7109375" customWidth="1"/>
    <col min="5648" max="5649" width="6.42578125" customWidth="1"/>
    <col min="5650" max="5650" width="24.5703125" customWidth="1"/>
    <col min="5651" max="5651" width="34.7109375" customWidth="1"/>
    <col min="5652" max="5652" width="16.42578125" customWidth="1"/>
    <col min="5653" max="5653" width="16" bestFit="1" customWidth="1"/>
    <col min="5654" max="5654" width="29.140625" customWidth="1"/>
    <col min="5655" max="5655" width="15.7109375" customWidth="1"/>
    <col min="5656" max="5657" width="6.42578125" customWidth="1"/>
    <col min="5658" max="5658" width="24.5703125" customWidth="1"/>
    <col min="5659" max="5659" width="34.7109375" customWidth="1"/>
    <col min="5660" max="5660" width="16.42578125" customWidth="1"/>
    <col min="5661" max="5661" width="16" bestFit="1" customWidth="1"/>
    <col min="5662" max="5662" width="29.140625" customWidth="1"/>
    <col min="5663" max="5663" width="15.7109375" customWidth="1"/>
    <col min="5664" max="5665" width="6.42578125" customWidth="1"/>
    <col min="5666" max="5666" width="24.5703125" customWidth="1"/>
    <col min="5667" max="5667" width="34.7109375" customWidth="1"/>
    <col min="5668" max="5668" width="16.42578125" customWidth="1"/>
    <col min="5669" max="5669" width="16" bestFit="1" customWidth="1"/>
    <col min="5670" max="5670" width="29.140625" customWidth="1"/>
    <col min="5671" max="5671" width="15.7109375" customWidth="1"/>
    <col min="5672" max="5673" width="6.42578125" customWidth="1"/>
    <col min="5674" max="5674" width="24.5703125" customWidth="1"/>
    <col min="5675" max="5675" width="34.7109375" customWidth="1"/>
    <col min="5676" max="5676" width="16.42578125" customWidth="1"/>
    <col min="5677" max="5677" width="16" bestFit="1" customWidth="1"/>
    <col min="5678" max="5678" width="29.140625" customWidth="1"/>
    <col min="5679" max="5679" width="15.7109375" customWidth="1"/>
    <col min="5680" max="5681" width="6.42578125" customWidth="1"/>
    <col min="5682" max="5682" width="24.5703125" customWidth="1"/>
    <col min="5683" max="5683" width="34.7109375" customWidth="1"/>
    <col min="5684" max="5684" width="16.42578125" customWidth="1"/>
    <col min="5685" max="5685" width="16" bestFit="1" customWidth="1"/>
    <col min="5686" max="5686" width="29.140625" customWidth="1"/>
    <col min="5687" max="5687" width="15.7109375" customWidth="1"/>
    <col min="5688" max="5689" width="6.42578125" customWidth="1"/>
    <col min="5690" max="5690" width="24.5703125" customWidth="1"/>
    <col min="5691" max="5691" width="34.7109375" customWidth="1"/>
    <col min="5692" max="5692" width="16.42578125" customWidth="1"/>
    <col min="5693" max="5693" width="16" bestFit="1" customWidth="1"/>
    <col min="5694" max="5694" width="29.140625" customWidth="1"/>
    <col min="5695" max="5695" width="15.7109375" customWidth="1"/>
    <col min="5696" max="5697" width="6.42578125" customWidth="1"/>
    <col min="5698" max="5698" width="24.5703125" customWidth="1"/>
    <col min="5699" max="5699" width="34.7109375" customWidth="1"/>
    <col min="5700" max="5700" width="16.42578125" customWidth="1"/>
    <col min="5701" max="5701" width="16" bestFit="1" customWidth="1"/>
    <col min="5702" max="5702" width="29.140625" customWidth="1"/>
    <col min="5703" max="5703" width="15.7109375" customWidth="1"/>
    <col min="5704" max="5705" width="6.42578125" customWidth="1"/>
    <col min="5706" max="5706" width="24.5703125" customWidth="1"/>
    <col min="5707" max="5707" width="34.7109375" customWidth="1"/>
    <col min="5708" max="5708" width="16.42578125" customWidth="1"/>
    <col min="5709" max="5709" width="16" bestFit="1" customWidth="1"/>
    <col min="5710" max="5710" width="29.140625" customWidth="1"/>
    <col min="5711" max="5711" width="15.7109375" customWidth="1"/>
    <col min="5712" max="5713" width="6.42578125" customWidth="1"/>
    <col min="5714" max="5714" width="24.5703125" customWidth="1"/>
    <col min="5715" max="5715" width="34.7109375" customWidth="1"/>
    <col min="5716" max="5716" width="16.42578125" customWidth="1"/>
    <col min="5717" max="5717" width="16" bestFit="1" customWidth="1"/>
    <col min="5718" max="5718" width="29.140625" customWidth="1"/>
    <col min="5719" max="5719" width="15.7109375" customWidth="1"/>
    <col min="5720" max="5721" width="6.42578125" customWidth="1"/>
    <col min="5722" max="5722" width="24.5703125" customWidth="1"/>
    <col min="5723" max="5723" width="34.7109375" customWidth="1"/>
    <col min="5724" max="5724" width="16.42578125" customWidth="1"/>
    <col min="5725" max="5725" width="16" bestFit="1" customWidth="1"/>
    <col min="5726" max="5726" width="29.140625" customWidth="1"/>
    <col min="5727" max="5727" width="15.7109375" customWidth="1"/>
    <col min="5728" max="5729" width="6.42578125" customWidth="1"/>
    <col min="5730" max="5730" width="24.5703125" customWidth="1"/>
    <col min="5731" max="5731" width="34.7109375" customWidth="1"/>
    <col min="5732" max="5732" width="16.42578125" customWidth="1"/>
    <col min="5733" max="5733" width="16" bestFit="1" customWidth="1"/>
    <col min="5734" max="5734" width="29.140625" customWidth="1"/>
    <col min="5735" max="5735" width="15.7109375" customWidth="1"/>
    <col min="5736" max="5737" width="6.42578125" customWidth="1"/>
    <col min="5738" max="5738" width="24.5703125" customWidth="1"/>
    <col min="5739" max="5739" width="34.7109375" customWidth="1"/>
    <col min="5740" max="5740" width="16.42578125" customWidth="1"/>
    <col min="5741" max="5741" width="16" bestFit="1" customWidth="1"/>
    <col min="5742" max="5742" width="29.140625" customWidth="1"/>
    <col min="5743" max="5743" width="15.7109375" customWidth="1"/>
    <col min="5744" max="5745" width="6.42578125" customWidth="1"/>
    <col min="5746" max="5746" width="24.5703125" customWidth="1"/>
    <col min="5747" max="5747" width="34.7109375" customWidth="1"/>
    <col min="5748" max="5748" width="16.42578125" customWidth="1"/>
    <col min="5749" max="5749" width="16" bestFit="1" customWidth="1"/>
    <col min="5750" max="5750" width="29.140625" customWidth="1"/>
    <col min="5751" max="5751" width="15.7109375" customWidth="1"/>
    <col min="5752" max="5753" width="6.42578125" customWidth="1"/>
    <col min="5754" max="5754" width="24.5703125" customWidth="1"/>
    <col min="5755" max="5755" width="34.7109375" customWidth="1"/>
    <col min="5756" max="5756" width="16.42578125" customWidth="1"/>
    <col min="5757" max="5757" width="16" bestFit="1" customWidth="1"/>
    <col min="5758" max="5758" width="29.140625" customWidth="1"/>
    <col min="5759" max="5759" width="15.7109375" customWidth="1"/>
    <col min="5760" max="5761" width="6.42578125" customWidth="1"/>
    <col min="5762" max="5762" width="24.5703125" customWidth="1"/>
    <col min="5763" max="5763" width="34.7109375" customWidth="1"/>
    <col min="5764" max="5764" width="16.42578125" customWidth="1"/>
    <col min="5765" max="5765" width="16" bestFit="1" customWidth="1"/>
    <col min="5766" max="5766" width="29.140625" customWidth="1"/>
    <col min="5767" max="5767" width="15.7109375" customWidth="1"/>
    <col min="5768" max="5769" width="6.42578125" customWidth="1"/>
    <col min="5770" max="5770" width="24.5703125" customWidth="1"/>
    <col min="5771" max="5771" width="34.7109375" customWidth="1"/>
    <col min="5772" max="5772" width="16.42578125" customWidth="1"/>
    <col min="5773" max="5773" width="16" bestFit="1" customWidth="1"/>
    <col min="5774" max="5774" width="29.140625" customWidth="1"/>
    <col min="5775" max="5775" width="15.7109375" customWidth="1"/>
    <col min="5776" max="5777" width="6.42578125" customWidth="1"/>
    <col min="5778" max="5778" width="24.5703125" customWidth="1"/>
    <col min="5779" max="5779" width="34.7109375" customWidth="1"/>
    <col min="5780" max="5780" width="16.42578125" customWidth="1"/>
    <col min="5781" max="5781" width="16" bestFit="1" customWidth="1"/>
    <col min="5782" max="5782" width="29.140625" customWidth="1"/>
    <col min="5783" max="5783" width="15.7109375" customWidth="1"/>
    <col min="5784" max="5785" width="6.42578125" customWidth="1"/>
    <col min="5786" max="5786" width="24.5703125" customWidth="1"/>
    <col min="5787" max="5787" width="34.7109375" customWidth="1"/>
    <col min="5788" max="5788" width="16.42578125" customWidth="1"/>
    <col min="5789" max="5789" width="16" bestFit="1" customWidth="1"/>
    <col min="5790" max="5790" width="29.140625" customWidth="1"/>
    <col min="5791" max="5791" width="15.7109375" customWidth="1"/>
    <col min="5792" max="5793" width="6.42578125" customWidth="1"/>
    <col min="5794" max="5794" width="24.5703125" customWidth="1"/>
    <col min="5795" max="5795" width="34.7109375" customWidth="1"/>
    <col min="5796" max="5796" width="16.42578125" customWidth="1"/>
    <col min="5797" max="5797" width="16" bestFit="1" customWidth="1"/>
    <col min="5798" max="5798" width="29.140625" customWidth="1"/>
    <col min="5799" max="5799" width="15.7109375" customWidth="1"/>
    <col min="5800" max="5801" width="6.42578125" customWidth="1"/>
    <col min="5802" max="5802" width="24.5703125" customWidth="1"/>
    <col min="5803" max="5803" width="34.7109375" customWidth="1"/>
    <col min="5804" max="5804" width="16.42578125" customWidth="1"/>
    <col min="5805" max="5805" width="16" bestFit="1" customWidth="1"/>
    <col min="5806" max="5806" width="29.140625" customWidth="1"/>
    <col min="5807" max="5807" width="15.7109375" customWidth="1"/>
    <col min="5808" max="5809" width="6.42578125" customWidth="1"/>
    <col min="5810" max="5810" width="24.5703125" customWidth="1"/>
    <col min="5811" max="5811" width="34.7109375" customWidth="1"/>
    <col min="5812" max="5812" width="16.42578125" customWidth="1"/>
    <col min="5813" max="5813" width="16" bestFit="1" customWidth="1"/>
    <col min="5814" max="5814" width="29.140625" customWidth="1"/>
    <col min="5815" max="5815" width="15.7109375" customWidth="1"/>
    <col min="5816" max="5817" width="6.42578125" customWidth="1"/>
    <col min="5818" max="5818" width="24.5703125" customWidth="1"/>
    <col min="5819" max="5819" width="34.7109375" customWidth="1"/>
    <col min="5820" max="5820" width="16.42578125" customWidth="1"/>
    <col min="5821" max="5821" width="16" bestFit="1" customWidth="1"/>
    <col min="5822" max="5822" width="29.140625" customWidth="1"/>
    <col min="5823" max="5823" width="15.7109375" customWidth="1"/>
    <col min="5824" max="5825" width="6.42578125" customWidth="1"/>
    <col min="5826" max="5826" width="24.5703125" customWidth="1"/>
    <col min="5827" max="5827" width="34.7109375" customWidth="1"/>
    <col min="5828" max="5828" width="16.42578125" customWidth="1"/>
    <col min="5829" max="5829" width="16" bestFit="1" customWidth="1"/>
    <col min="5830" max="5830" width="29.140625" customWidth="1"/>
    <col min="5831" max="5831" width="15.7109375" customWidth="1"/>
    <col min="5832" max="5833" width="6.42578125" customWidth="1"/>
    <col min="5834" max="5834" width="24.5703125" customWidth="1"/>
    <col min="5835" max="5835" width="34.7109375" customWidth="1"/>
    <col min="5836" max="5836" width="16.42578125" customWidth="1"/>
    <col min="5837" max="5837" width="16" bestFit="1" customWidth="1"/>
    <col min="5838" max="5838" width="29.140625" customWidth="1"/>
    <col min="5839" max="5839" width="15.7109375" customWidth="1"/>
    <col min="5840" max="5841" width="6.42578125" customWidth="1"/>
    <col min="5842" max="5842" width="24.5703125" customWidth="1"/>
    <col min="5843" max="5843" width="34.7109375" customWidth="1"/>
    <col min="5844" max="5844" width="16.42578125" customWidth="1"/>
    <col min="5845" max="5845" width="16" bestFit="1" customWidth="1"/>
    <col min="5846" max="5846" width="29.140625" customWidth="1"/>
    <col min="5847" max="5847" width="15.7109375" customWidth="1"/>
    <col min="5848" max="5849" width="6.42578125" customWidth="1"/>
    <col min="5850" max="5850" width="24.5703125" customWidth="1"/>
    <col min="5851" max="5851" width="34.7109375" customWidth="1"/>
    <col min="5852" max="5852" width="16.42578125" customWidth="1"/>
    <col min="5853" max="5853" width="16" bestFit="1" customWidth="1"/>
    <col min="5854" max="5854" width="29.140625" customWidth="1"/>
    <col min="5855" max="5855" width="15.7109375" customWidth="1"/>
    <col min="5856" max="5857" width="6.42578125" customWidth="1"/>
    <col min="5858" max="5858" width="24.5703125" customWidth="1"/>
    <col min="5859" max="5859" width="34.7109375" customWidth="1"/>
    <col min="5860" max="5860" width="16.42578125" customWidth="1"/>
    <col min="5861" max="5861" width="16" bestFit="1" customWidth="1"/>
    <col min="5862" max="5862" width="29.140625" customWidth="1"/>
    <col min="5863" max="5863" width="15.7109375" customWidth="1"/>
    <col min="5864" max="5865" width="6.42578125" customWidth="1"/>
    <col min="5866" max="5866" width="24.5703125" customWidth="1"/>
    <col min="5867" max="5867" width="34.7109375" customWidth="1"/>
    <col min="5868" max="5868" width="16.42578125" customWidth="1"/>
    <col min="5869" max="5869" width="16" bestFit="1" customWidth="1"/>
    <col min="5870" max="5870" width="29.140625" customWidth="1"/>
    <col min="5871" max="5871" width="15.7109375" customWidth="1"/>
    <col min="5872" max="5873" width="6.42578125" customWidth="1"/>
    <col min="5874" max="5874" width="24.5703125" customWidth="1"/>
    <col min="5875" max="5875" width="34.7109375" customWidth="1"/>
    <col min="5876" max="5876" width="16.42578125" customWidth="1"/>
    <col min="5877" max="5877" width="16" bestFit="1" customWidth="1"/>
    <col min="5878" max="5878" width="29.140625" customWidth="1"/>
    <col min="5879" max="5879" width="15.7109375" customWidth="1"/>
    <col min="5880" max="5881" width="6.42578125" customWidth="1"/>
    <col min="5882" max="5882" width="24.5703125" customWidth="1"/>
    <col min="5883" max="5883" width="34.7109375" customWidth="1"/>
    <col min="5884" max="5884" width="16.42578125" customWidth="1"/>
    <col min="5885" max="5885" width="16" bestFit="1" customWidth="1"/>
    <col min="5886" max="5886" width="29.140625" customWidth="1"/>
    <col min="5887" max="5887" width="15.7109375" customWidth="1"/>
    <col min="5888" max="5889" width="6.42578125" customWidth="1"/>
    <col min="5890" max="5890" width="24.5703125" customWidth="1"/>
    <col min="5891" max="5891" width="34.7109375" customWidth="1"/>
    <col min="5892" max="5892" width="16.42578125" customWidth="1"/>
    <col min="5893" max="5893" width="16" bestFit="1" customWidth="1"/>
    <col min="5894" max="5894" width="29.140625" customWidth="1"/>
    <col min="5895" max="5895" width="15.7109375" customWidth="1"/>
    <col min="5896" max="5897" width="6.42578125" customWidth="1"/>
    <col min="5898" max="5898" width="24.5703125" customWidth="1"/>
    <col min="5899" max="5899" width="34.7109375" customWidth="1"/>
    <col min="5900" max="5900" width="16.42578125" customWidth="1"/>
    <col min="5901" max="5901" width="16" bestFit="1" customWidth="1"/>
    <col min="5902" max="5902" width="29.140625" customWidth="1"/>
    <col min="5903" max="5903" width="15.7109375" customWidth="1"/>
    <col min="5904" max="5905" width="6.42578125" customWidth="1"/>
    <col min="5906" max="5906" width="24.5703125" customWidth="1"/>
    <col min="5907" max="5907" width="34.7109375" customWidth="1"/>
    <col min="5908" max="5908" width="16.42578125" customWidth="1"/>
    <col min="5909" max="5909" width="16" bestFit="1" customWidth="1"/>
    <col min="5910" max="5910" width="29.140625" customWidth="1"/>
    <col min="5911" max="5911" width="15.7109375" customWidth="1"/>
    <col min="5912" max="5913" width="6.42578125" customWidth="1"/>
    <col min="5914" max="5914" width="24.5703125" customWidth="1"/>
    <col min="5915" max="5915" width="34.7109375" customWidth="1"/>
    <col min="5916" max="5916" width="16.42578125" customWidth="1"/>
    <col min="5917" max="5917" width="16" bestFit="1" customWidth="1"/>
    <col min="5918" max="5918" width="29.140625" customWidth="1"/>
    <col min="5919" max="5919" width="15.7109375" customWidth="1"/>
    <col min="5920" max="5921" width="6.42578125" customWidth="1"/>
    <col min="5922" max="5922" width="24.5703125" customWidth="1"/>
    <col min="5923" max="5923" width="34.7109375" customWidth="1"/>
    <col min="5924" max="5924" width="16.42578125" customWidth="1"/>
    <col min="5925" max="5925" width="16" bestFit="1" customWidth="1"/>
    <col min="5926" max="5926" width="29.140625" customWidth="1"/>
    <col min="5927" max="5927" width="15.7109375" customWidth="1"/>
    <col min="5928" max="5929" width="6.42578125" customWidth="1"/>
    <col min="5930" max="5930" width="24.5703125" customWidth="1"/>
    <col min="5931" max="5931" width="34.7109375" customWidth="1"/>
    <col min="5932" max="5932" width="16.42578125" customWidth="1"/>
    <col min="5933" max="5933" width="16" bestFit="1" customWidth="1"/>
    <col min="5934" max="5934" width="29.140625" customWidth="1"/>
    <col min="5935" max="5935" width="15.7109375" customWidth="1"/>
    <col min="5936" max="5937" width="6.42578125" customWidth="1"/>
    <col min="5938" max="5938" width="24.5703125" customWidth="1"/>
    <col min="5939" max="5939" width="34.7109375" customWidth="1"/>
    <col min="5940" max="5940" width="16.42578125" customWidth="1"/>
    <col min="5941" max="5941" width="16" bestFit="1" customWidth="1"/>
    <col min="5942" max="5942" width="29.140625" customWidth="1"/>
    <col min="5943" max="5943" width="15.7109375" customWidth="1"/>
    <col min="5944" max="5945" width="6.42578125" customWidth="1"/>
    <col min="5946" max="5946" width="24.5703125" customWidth="1"/>
    <col min="5947" max="5947" width="34.7109375" customWidth="1"/>
    <col min="5948" max="5948" width="16.42578125" customWidth="1"/>
    <col min="5949" max="5949" width="16" bestFit="1" customWidth="1"/>
    <col min="5950" max="5950" width="29.140625" customWidth="1"/>
    <col min="5951" max="5951" width="15.7109375" customWidth="1"/>
    <col min="5952" max="5953" width="6.42578125" customWidth="1"/>
    <col min="5954" max="5954" width="24.5703125" customWidth="1"/>
    <col min="5955" max="5955" width="34.7109375" customWidth="1"/>
    <col min="5956" max="5956" width="16.42578125" customWidth="1"/>
    <col min="5957" max="5957" width="16" bestFit="1" customWidth="1"/>
    <col min="5958" max="5958" width="29.140625" customWidth="1"/>
    <col min="5959" max="5959" width="15.7109375" customWidth="1"/>
    <col min="5960" max="5961" width="6.42578125" customWidth="1"/>
    <col min="5962" max="5962" width="24.5703125" customWidth="1"/>
    <col min="5963" max="5963" width="34.7109375" customWidth="1"/>
    <col min="5964" max="5964" width="16.42578125" customWidth="1"/>
    <col min="5965" max="5965" width="16" bestFit="1" customWidth="1"/>
    <col min="5966" max="5966" width="29.140625" customWidth="1"/>
    <col min="5967" max="5967" width="15.7109375" customWidth="1"/>
    <col min="5968" max="5969" width="6.42578125" customWidth="1"/>
    <col min="5970" max="5970" width="24.5703125" customWidth="1"/>
    <col min="5971" max="5971" width="34.7109375" customWidth="1"/>
    <col min="5972" max="5972" width="16.42578125" customWidth="1"/>
    <col min="5973" max="5973" width="16" bestFit="1" customWidth="1"/>
    <col min="5974" max="5974" width="29.140625" customWidth="1"/>
    <col min="5975" max="5975" width="15.7109375" customWidth="1"/>
    <col min="5976" max="5977" width="6.42578125" customWidth="1"/>
    <col min="5978" max="5978" width="24.5703125" customWidth="1"/>
    <col min="5979" max="5979" width="34.7109375" customWidth="1"/>
    <col min="5980" max="5980" width="16.42578125" customWidth="1"/>
    <col min="5981" max="5981" width="16" bestFit="1" customWidth="1"/>
    <col min="5982" max="5982" width="29.140625" customWidth="1"/>
    <col min="5983" max="5983" width="15.7109375" customWidth="1"/>
    <col min="5984" max="5985" width="6.42578125" customWidth="1"/>
    <col min="5986" max="5986" width="24.5703125" customWidth="1"/>
    <col min="5987" max="5987" width="34.7109375" customWidth="1"/>
    <col min="5988" max="5988" width="16.42578125" customWidth="1"/>
    <col min="5989" max="5989" width="16" bestFit="1" customWidth="1"/>
    <col min="5990" max="5990" width="29.140625" customWidth="1"/>
    <col min="5991" max="5991" width="15.7109375" customWidth="1"/>
    <col min="5992" max="5993" width="6.42578125" customWidth="1"/>
    <col min="5994" max="5994" width="24.5703125" customWidth="1"/>
    <col min="5995" max="5995" width="34.7109375" customWidth="1"/>
    <col min="5996" max="5996" width="16.42578125" customWidth="1"/>
    <col min="5997" max="5997" width="16" bestFit="1" customWidth="1"/>
    <col min="5998" max="5998" width="29.140625" customWidth="1"/>
    <col min="5999" max="5999" width="15.7109375" customWidth="1"/>
    <col min="6000" max="6001" width="6.42578125" customWidth="1"/>
    <col min="6002" max="6002" width="24.5703125" customWidth="1"/>
    <col min="6003" max="6003" width="34.7109375" customWidth="1"/>
    <col min="6004" max="6004" width="16.42578125" customWidth="1"/>
    <col min="6005" max="6005" width="16" bestFit="1" customWidth="1"/>
    <col min="6006" max="6006" width="29.140625" customWidth="1"/>
    <col min="6007" max="6007" width="15.7109375" customWidth="1"/>
    <col min="6008" max="6009" width="6.42578125" customWidth="1"/>
    <col min="6010" max="6010" width="24.5703125" customWidth="1"/>
    <col min="6011" max="6011" width="34.7109375" customWidth="1"/>
    <col min="6012" max="6012" width="16.42578125" customWidth="1"/>
    <col min="6013" max="6013" width="16" bestFit="1" customWidth="1"/>
    <col min="6014" max="6014" width="29.140625" customWidth="1"/>
    <col min="6015" max="6015" width="15.7109375" customWidth="1"/>
    <col min="6016" max="6017" width="6.42578125" customWidth="1"/>
    <col min="6018" max="6018" width="24.5703125" customWidth="1"/>
    <col min="6019" max="6019" width="34.7109375" customWidth="1"/>
    <col min="6020" max="6020" width="16.42578125" customWidth="1"/>
    <col min="6021" max="6021" width="16" bestFit="1" customWidth="1"/>
    <col min="6022" max="6022" width="29.140625" customWidth="1"/>
    <col min="6023" max="6023" width="15.7109375" customWidth="1"/>
    <col min="6024" max="6025" width="6.42578125" customWidth="1"/>
    <col min="6026" max="6026" width="24.5703125" customWidth="1"/>
    <col min="6027" max="6027" width="34.7109375" customWidth="1"/>
    <col min="6028" max="6028" width="16.42578125" customWidth="1"/>
    <col min="6029" max="6029" width="16" bestFit="1" customWidth="1"/>
    <col min="6030" max="6030" width="29.140625" customWidth="1"/>
    <col min="6031" max="6031" width="15.7109375" customWidth="1"/>
    <col min="6032" max="6033" width="6.42578125" customWidth="1"/>
    <col min="6034" max="6034" width="24.5703125" customWidth="1"/>
    <col min="6035" max="6035" width="34.7109375" customWidth="1"/>
    <col min="6036" max="6036" width="16.42578125" customWidth="1"/>
    <col min="6037" max="6037" width="16" bestFit="1" customWidth="1"/>
    <col min="6038" max="6038" width="29.140625" customWidth="1"/>
    <col min="6039" max="6039" width="15.7109375" customWidth="1"/>
    <col min="6040" max="6041" width="6.42578125" customWidth="1"/>
    <col min="6042" max="6042" width="24.5703125" customWidth="1"/>
    <col min="6043" max="6043" width="34.7109375" customWidth="1"/>
    <col min="6044" max="6044" width="16.42578125" customWidth="1"/>
    <col min="6045" max="6045" width="16" bestFit="1" customWidth="1"/>
    <col min="6046" max="6046" width="29.140625" customWidth="1"/>
    <col min="6047" max="6047" width="15.7109375" customWidth="1"/>
    <col min="6048" max="6049" width="6.42578125" customWidth="1"/>
    <col min="6050" max="6050" width="24.5703125" customWidth="1"/>
    <col min="6051" max="6051" width="34.7109375" customWidth="1"/>
    <col min="6052" max="6052" width="16.42578125" customWidth="1"/>
    <col min="6053" max="6053" width="16" bestFit="1" customWidth="1"/>
    <col min="6054" max="6054" width="29.140625" customWidth="1"/>
    <col min="6055" max="6055" width="15.7109375" customWidth="1"/>
    <col min="6056" max="6057" width="6.42578125" customWidth="1"/>
    <col min="6058" max="6058" width="24.5703125" customWidth="1"/>
    <col min="6059" max="6059" width="34.7109375" customWidth="1"/>
    <col min="6060" max="6060" width="16.42578125" customWidth="1"/>
    <col min="6061" max="6061" width="16" bestFit="1" customWidth="1"/>
    <col min="6062" max="6062" width="29.140625" customWidth="1"/>
    <col min="6063" max="6063" width="15.7109375" customWidth="1"/>
    <col min="6064" max="6065" width="6.42578125" customWidth="1"/>
    <col min="6066" max="6066" width="24.5703125" customWidth="1"/>
    <col min="6067" max="6067" width="34.7109375" customWidth="1"/>
    <col min="6068" max="6068" width="16.42578125" customWidth="1"/>
    <col min="6069" max="6069" width="16" bestFit="1" customWidth="1"/>
    <col min="6070" max="6070" width="29.140625" customWidth="1"/>
    <col min="6071" max="6071" width="15.7109375" customWidth="1"/>
    <col min="6072" max="6073" width="6.42578125" customWidth="1"/>
    <col min="6074" max="6074" width="24.5703125" customWidth="1"/>
    <col min="6075" max="6075" width="34.7109375" customWidth="1"/>
    <col min="6076" max="6076" width="16.42578125" customWidth="1"/>
    <col min="6077" max="6077" width="16" bestFit="1" customWidth="1"/>
    <col min="6078" max="6078" width="29.140625" customWidth="1"/>
    <col min="6079" max="6079" width="15.7109375" customWidth="1"/>
    <col min="6080" max="6081" width="6.42578125" customWidth="1"/>
    <col min="6082" max="6082" width="24.5703125" customWidth="1"/>
    <col min="6083" max="6083" width="34.7109375" customWidth="1"/>
    <col min="6084" max="6084" width="16.42578125" customWidth="1"/>
    <col min="6085" max="6085" width="16" bestFit="1" customWidth="1"/>
    <col min="6086" max="6086" width="29.140625" customWidth="1"/>
    <col min="6087" max="6087" width="15.7109375" customWidth="1"/>
    <col min="6088" max="6089" width="6.42578125" customWidth="1"/>
    <col min="6090" max="6090" width="24.5703125" customWidth="1"/>
    <col min="6091" max="6091" width="34.7109375" customWidth="1"/>
    <col min="6092" max="6092" width="16.42578125" customWidth="1"/>
    <col min="6093" max="6093" width="16" bestFit="1" customWidth="1"/>
    <col min="6094" max="6094" width="29.140625" customWidth="1"/>
    <col min="6095" max="6095" width="15.7109375" customWidth="1"/>
    <col min="6096" max="6097" width="6.42578125" customWidth="1"/>
    <col min="6098" max="6098" width="24.5703125" customWidth="1"/>
    <col min="6099" max="6099" width="34.7109375" customWidth="1"/>
    <col min="6100" max="6100" width="16.42578125" customWidth="1"/>
    <col min="6101" max="6101" width="16" bestFit="1" customWidth="1"/>
    <col min="6102" max="6102" width="29.140625" customWidth="1"/>
    <col min="6103" max="6103" width="15.7109375" customWidth="1"/>
    <col min="6104" max="6105" width="6.42578125" customWidth="1"/>
    <col min="6106" max="6106" width="24.5703125" customWidth="1"/>
    <col min="6107" max="6107" width="34.7109375" customWidth="1"/>
    <col min="6108" max="6108" width="16.42578125" customWidth="1"/>
    <col min="6109" max="6109" width="16" bestFit="1" customWidth="1"/>
    <col min="6110" max="6110" width="29.140625" customWidth="1"/>
    <col min="6111" max="6111" width="15.7109375" customWidth="1"/>
    <col min="6112" max="6113" width="6.42578125" customWidth="1"/>
    <col min="6114" max="6114" width="24.5703125" customWidth="1"/>
    <col min="6115" max="6115" width="34.7109375" customWidth="1"/>
    <col min="6116" max="6116" width="16.42578125" customWidth="1"/>
    <col min="6117" max="6117" width="16" bestFit="1" customWidth="1"/>
    <col min="6118" max="6118" width="29.140625" customWidth="1"/>
    <col min="6119" max="6119" width="15.7109375" customWidth="1"/>
    <col min="6120" max="6121" width="6.42578125" customWidth="1"/>
    <col min="6122" max="6122" width="24.5703125" customWidth="1"/>
    <col min="6123" max="6123" width="34.7109375" customWidth="1"/>
    <col min="6124" max="6124" width="16.42578125" customWidth="1"/>
    <col min="6125" max="6125" width="16" bestFit="1" customWidth="1"/>
    <col min="6126" max="6126" width="29.140625" customWidth="1"/>
    <col min="6127" max="6127" width="15.7109375" customWidth="1"/>
    <col min="6128" max="6129" width="6.42578125" customWidth="1"/>
    <col min="6130" max="6130" width="24.5703125" customWidth="1"/>
    <col min="6131" max="6131" width="34.7109375" customWidth="1"/>
    <col min="6132" max="6132" width="16.42578125" customWidth="1"/>
    <col min="6133" max="6133" width="16" bestFit="1" customWidth="1"/>
    <col min="6134" max="6134" width="29.140625" customWidth="1"/>
    <col min="6135" max="6135" width="15.7109375" customWidth="1"/>
    <col min="6136" max="6137" width="6.42578125" customWidth="1"/>
    <col min="6138" max="6138" width="24.5703125" customWidth="1"/>
    <col min="6139" max="6139" width="34.7109375" customWidth="1"/>
    <col min="6140" max="6140" width="16.42578125" customWidth="1"/>
    <col min="6141" max="6141" width="16" bestFit="1" customWidth="1"/>
    <col min="6142" max="6142" width="29.140625" customWidth="1"/>
    <col min="6143" max="6143" width="15.7109375" customWidth="1"/>
    <col min="6144" max="6145" width="6.42578125" customWidth="1"/>
    <col min="6146" max="6146" width="24.5703125" customWidth="1"/>
    <col min="6147" max="6147" width="34.7109375" customWidth="1"/>
    <col min="6148" max="6148" width="16.42578125" customWidth="1"/>
    <col min="6149" max="6149" width="16" bestFit="1" customWidth="1"/>
    <col min="6150" max="6150" width="29.140625" customWidth="1"/>
    <col min="6151" max="6151" width="15.7109375" customWidth="1"/>
    <col min="6152" max="6153" width="6.42578125" customWidth="1"/>
    <col min="6154" max="6154" width="24.5703125" customWidth="1"/>
    <col min="6155" max="6155" width="34.7109375" customWidth="1"/>
    <col min="6156" max="6156" width="16.42578125" customWidth="1"/>
    <col min="6157" max="6157" width="16" bestFit="1" customWidth="1"/>
    <col min="6158" max="6158" width="29.140625" customWidth="1"/>
    <col min="6159" max="6159" width="15.7109375" customWidth="1"/>
    <col min="6160" max="6161" width="6.42578125" customWidth="1"/>
    <col min="6162" max="6162" width="24.5703125" customWidth="1"/>
    <col min="6163" max="6163" width="34.7109375" customWidth="1"/>
    <col min="6164" max="6164" width="16.42578125" customWidth="1"/>
    <col min="6165" max="6165" width="16" bestFit="1" customWidth="1"/>
    <col min="6166" max="6166" width="29.140625" customWidth="1"/>
    <col min="6167" max="6167" width="15.7109375" customWidth="1"/>
    <col min="6168" max="6169" width="6.42578125" customWidth="1"/>
    <col min="6170" max="6170" width="24.5703125" customWidth="1"/>
    <col min="6171" max="6171" width="34.7109375" customWidth="1"/>
    <col min="6172" max="6172" width="16.42578125" customWidth="1"/>
    <col min="6173" max="6173" width="16" bestFit="1" customWidth="1"/>
    <col min="6174" max="6174" width="29.140625" customWidth="1"/>
    <col min="6175" max="6175" width="15.7109375" customWidth="1"/>
    <col min="6176" max="6177" width="6.42578125" customWidth="1"/>
    <col min="6178" max="6178" width="24.5703125" customWidth="1"/>
    <col min="6179" max="6179" width="34.7109375" customWidth="1"/>
    <col min="6180" max="6180" width="16.42578125" customWidth="1"/>
    <col min="6181" max="6181" width="16" bestFit="1" customWidth="1"/>
    <col min="6182" max="6182" width="29.140625" customWidth="1"/>
    <col min="6183" max="6183" width="15.7109375" customWidth="1"/>
    <col min="6184" max="6185" width="6.42578125" customWidth="1"/>
    <col min="6186" max="6186" width="24.5703125" customWidth="1"/>
    <col min="6187" max="6187" width="34.7109375" customWidth="1"/>
    <col min="6188" max="6188" width="16.42578125" customWidth="1"/>
    <col min="6189" max="6189" width="16" bestFit="1" customWidth="1"/>
    <col min="6190" max="6190" width="29.140625" customWidth="1"/>
    <col min="6191" max="6191" width="15.7109375" customWidth="1"/>
    <col min="6192" max="6193" width="6.42578125" customWidth="1"/>
    <col min="6194" max="6194" width="24.5703125" customWidth="1"/>
    <col min="6195" max="6195" width="34.7109375" customWidth="1"/>
    <col min="6196" max="6196" width="16.42578125" customWidth="1"/>
    <col min="6197" max="6197" width="16" bestFit="1" customWidth="1"/>
    <col min="6198" max="6198" width="29.140625" customWidth="1"/>
    <col min="6199" max="6199" width="15.7109375" customWidth="1"/>
    <col min="6200" max="6201" width="6.42578125" customWidth="1"/>
    <col min="6202" max="6202" width="24.5703125" customWidth="1"/>
    <col min="6203" max="6203" width="34.7109375" customWidth="1"/>
    <col min="6204" max="6204" width="16.42578125" customWidth="1"/>
    <col min="6205" max="6205" width="16" bestFit="1" customWidth="1"/>
    <col min="6206" max="6206" width="29.140625" customWidth="1"/>
    <col min="6207" max="6207" width="15.7109375" customWidth="1"/>
    <col min="6208" max="6209" width="6.42578125" customWidth="1"/>
    <col min="6210" max="6210" width="24.5703125" customWidth="1"/>
    <col min="6211" max="6211" width="34.7109375" customWidth="1"/>
    <col min="6212" max="6212" width="16.42578125" customWidth="1"/>
    <col min="6213" max="6213" width="16" bestFit="1" customWidth="1"/>
    <col min="6214" max="6214" width="29.140625" customWidth="1"/>
    <col min="6215" max="6215" width="15.7109375" customWidth="1"/>
    <col min="6216" max="6217" width="6.42578125" customWidth="1"/>
    <col min="6218" max="6218" width="24.5703125" customWidth="1"/>
    <col min="6219" max="6219" width="34.7109375" customWidth="1"/>
    <col min="6220" max="6220" width="16.42578125" customWidth="1"/>
    <col min="6221" max="6221" width="16" bestFit="1" customWidth="1"/>
    <col min="6222" max="6222" width="29.140625" customWidth="1"/>
    <col min="6223" max="6223" width="15.7109375" customWidth="1"/>
    <col min="6224" max="6225" width="6.42578125" customWidth="1"/>
    <col min="6226" max="6226" width="24.5703125" customWidth="1"/>
    <col min="6227" max="6227" width="34.7109375" customWidth="1"/>
    <col min="6228" max="6228" width="16.42578125" customWidth="1"/>
    <col min="6229" max="6229" width="16" bestFit="1" customWidth="1"/>
    <col min="6230" max="6230" width="29.140625" customWidth="1"/>
    <col min="6231" max="6231" width="15.7109375" customWidth="1"/>
    <col min="6232" max="6233" width="6.42578125" customWidth="1"/>
    <col min="6234" max="6234" width="24.5703125" customWidth="1"/>
    <col min="6235" max="6235" width="34.7109375" customWidth="1"/>
    <col min="6236" max="6236" width="16.42578125" customWidth="1"/>
    <col min="6237" max="6237" width="16" bestFit="1" customWidth="1"/>
    <col min="6238" max="6238" width="29.140625" customWidth="1"/>
    <col min="6239" max="6239" width="15.7109375" customWidth="1"/>
    <col min="6240" max="6241" width="6.42578125" customWidth="1"/>
    <col min="6242" max="6242" width="24.5703125" customWidth="1"/>
    <col min="6243" max="6243" width="34.7109375" customWidth="1"/>
    <col min="6244" max="6244" width="16.42578125" customWidth="1"/>
    <col min="6245" max="6245" width="16" bestFit="1" customWidth="1"/>
    <col min="6246" max="6246" width="29.140625" customWidth="1"/>
    <col min="6247" max="6247" width="15.7109375" customWidth="1"/>
    <col min="6248" max="6249" width="6.42578125" customWidth="1"/>
    <col min="6250" max="6250" width="24.5703125" customWidth="1"/>
    <col min="6251" max="6251" width="34.7109375" customWidth="1"/>
    <col min="6252" max="6252" width="16.42578125" customWidth="1"/>
    <col min="6253" max="6253" width="16" bestFit="1" customWidth="1"/>
    <col min="6254" max="6254" width="29.140625" customWidth="1"/>
    <col min="6255" max="6255" width="15.7109375" customWidth="1"/>
    <col min="6256" max="6257" width="6.42578125" customWidth="1"/>
    <col min="6258" max="6258" width="24.5703125" customWidth="1"/>
    <col min="6259" max="6259" width="34.7109375" customWidth="1"/>
    <col min="6260" max="6260" width="16.42578125" customWidth="1"/>
    <col min="6261" max="6261" width="16" bestFit="1" customWidth="1"/>
    <col min="6262" max="6262" width="29.140625" customWidth="1"/>
    <col min="6263" max="6263" width="15.7109375" customWidth="1"/>
    <col min="6264" max="6265" width="6.42578125" customWidth="1"/>
    <col min="6266" max="6266" width="24.5703125" customWidth="1"/>
    <col min="6267" max="6267" width="34.7109375" customWidth="1"/>
    <col min="6268" max="6268" width="16.42578125" customWidth="1"/>
    <col min="6269" max="6269" width="16" bestFit="1" customWidth="1"/>
    <col min="6270" max="6270" width="29.140625" customWidth="1"/>
    <col min="6271" max="6271" width="15.7109375" customWidth="1"/>
    <col min="6272" max="6273" width="6.42578125" customWidth="1"/>
    <col min="6274" max="6274" width="24.5703125" customWidth="1"/>
    <col min="6275" max="6275" width="34.7109375" customWidth="1"/>
    <col min="6276" max="6276" width="16.42578125" customWidth="1"/>
    <col min="6277" max="6277" width="16" bestFit="1" customWidth="1"/>
    <col min="6278" max="6278" width="29.140625" customWidth="1"/>
    <col min="6279" max="6279" width="15.7109375" customWidth="1"/>
    <col min="6280" max="6281" width="6.42578125" customWidth="1"/>
    <col min="6282" max="6282" width="24.5703125" customWidth="1"/>
    <col min="6283" max="6283" width="34.7109375" customWidth="1"/>
    <col min="6284" max="6284" width="16.42578125" customWidth="1"/>
    <col min="6285" max="6285" width="16" bestFit="1" customWidth="1"/>
    <col min="6286" max="6286" width="29.140625" customWidth="1"/>
    <col min="6287" max="6287" width="15.7109375" customWidth="1"/>
    <col min="6288" max="6289" width="6.42578125" customWidth="1"/>
    <col min="6290" max="6290" width="24.5703125" customWidth="1"/>
    <col min="6291" max="6291" width="34.7109375" customWidth="1"/>
    <col min="6292" max="6292" width="16.42578125" customWidth="1"/>
    <col min="6293" max="6293" width="16" bestFit="1" customWidth="1"/>
    <col min="6294" max="6294" width="29.140625" customWidth="1"/>
    <col min="6295" max="6295" width="15.7109375" customWidth="1"/>
    <col min="6296" max="6297" width="6.42578125" customWidth="1"/>
    <col min="6298" max="6298" width="24.5703125" customWidth="1"/>
    <col min="6299" max="6299" width="34.7109375" customWidth="1"/>
    <col min="6300" max="6300" width="16.42578125" customWidth="1"/>
    <col min="6301" max="6301" width="16" bestFit="1" customWidth="1"/>
    <col min="6302" max="6302" width="29.140625" customWidth="1"/>
    <col min="6303" max="6303" width="15.7109375" customWidth="1"/>
    <col min="6304" max="6305" width="6.42578125" customWidth="1"/>
    <col min="6306" max="6306" width="24.5703125" customWidth="1"/>
    <col min="6307" max="6307" width="34.7109375" customWidth="1"/>
    <col min="6308" max="6308" width="16.42578125" customWidth="1"/>
    <col min="6309" max="6309" width="16" bestFit="1" customWidth="1"/>
    <col min="6310" max="6310" width="29.140625" customWidth="1"/>
    <col min="6311" max="6311" width="15.7109375" customWidth="1"/>
    <col min="6312" max="6313" width="6.42578125" customWidth="1"/>
    <col min="6314" max="6314" width="24.5703125" customWidth="1"/>
    <col min="6315" max="6315" width="34.7109375" customWidth="1"/>
    <col min="6316" max="6316" width="16.42578125" customWidth="1"/>
    <col min="6317" max="6317" width="16" bestFit="1" customWidth="1"/>
    <col min="6318" max="6318" width="29.140625" customWidth="1"/>
    <col min="6319" max="6319" width="15.7109375" customWidth="1"/>
    <col min="6320" max="6321" width="6.42578125" customWidth="1"/>
    <col min="6322" max="6322" width="24.5703125" customWidth="1"/>
    <col min="6323" max="6323" width="34.7109375" customWidth="1"/>
    <col min="6324" max="6324" width="16.42578125" customWidth="1"/>
    <col min="6325" max="6325" width="16" bestFit="1" customWidth="1"/>
    <col min="6326" max="6326" width="29.140625" customWidth="1"/>
    <col min="6327" max="6327" width="15.7109375" customWidth="1"/>
    <col min="6328" max="6329" width="6.42578125" customWidth="1"/>
    <col min="6330" max="6330" width="24.5703125" customWidth="1"/>
    <col min="6331" max="6331" width="34.7109375" customWidth="1"/>
    <col min="6332" max="6332" width="16.42578125" customWidth="1"/>
    <col min="6333" max="6333" width="16" bestFit="1" customWidth="1"/>
    <col min="6334" max="6334" width="29.140625" customWidth="1"/>
    <col min="6335" max="6335" width="15.7109375" customWidth="1"/>
    <col min="6336" max="6337" width="6.42578125" customWidth="1"/>
    <col min="6338" max="6338" width="24.5703125" customWidth="1"/>
    <col min="6339" max="6339" width="34.7109375" customWidth="1"/>
    <col min="6340" max="6340" width="16.42578125" customWidth="1"/>
    <col min="6341" max="6341" width="16" bestFit="1" customWidth="1"/>
    <col min="6342" max="6342" width="29.140625" customWidth="1"/>
    <col min="6343" max="6343" width="15.7109375" customWidth="1"/>
    <col min="6344" max="6345" width="6.42578125" customWidth="1"/>
    <col min="6346" max="6346" width="24.5703125" customWidth="1"/>
    <col min="6347" max="6347" width="34.7109375" customWidth="1"/>
    <col min="6348" max="6348" width="16.42578125" customWidth="1"/>
    <col min="6349" max="6349" width="16" bestFit="1" customWidth="1"/>
    <col min="6350" max="6350" width="29.140625" customWidth="1"/>
    <col min="6351" max="6351" width="15.7109375" customWidth="1"/>
    <col min="6352" max="6353" width="6.42578125" customWidth="1"/>
    <col min="6354" max="6354" width="24.5703125" customWidth="1"/>
    <col min="6355" max="6355" width="34.7109375" customWidth="1"/>
    <col min="6356" max="6356" width="16.42578125" customWidth="1"/>
    <col min="6357" max="6357" width="16" bestFit="1" customWidth="1"/>
    <col min="6358" max="6358" width="29.140625" customWidth="1"/>
    <col min="6359" max="6359" width="15.7109375" customWidth="1"/>
    <col min="6360" max="6361" width="6.42578125" customWidth="1"/>
    <col min="6362" max="6362" width="24.5703125" customWidth="1"/>
    <col min="6363" max="6363" width="34.7109375" customWidth="1"/>
    <col min="6364" max="6364" width="16.42578125" customWidth="1"/>
    <col min="6365" max="6365" width="16" bestFit="1" customWidth="1"/>
    <col min="6366" max="6366" width="29.140625" customWidth="1"/>
    <col min="6367" max="6367" width="15.7109375" customWidth="1"/>
    <col min="6368" max="6369" width="6.42578125" customWidth="1"/>
    <col min="6370" max="6370" width="24.5703125" customWidth="1"/>
    <col min="6371" max="6371" width="34.7109375" customWidth="1"/>
    <col min="6372" max="6372" width="16.42578125" customWidth="1"/>
    <col min="6373" max="6373" width="16" bestFit="1" customWidth="1"/>
    <col min="6374" max="6374" width="29.140625" customWidth="1"/>
    <col min="6375" max="6375" width="15.7109375" customWidth="1"/>
    <col min="6376" max="6377" width="6.42578125" customWidth="1"/>
    <col min="6378" max="6378" width="24.5703125" customWidth="1"/>
    <col min="6379" max="6379" width="34.7109375" customWidth="1"/>
    <col min="6380" max="6380" width="16.42578125" customWidth="1"/>
    <col min="6381" max="6381" width="16" bestFit="1" customWidth="1"/>
    <col min="6382" max="6382" width="29.140625" customWidth="1"/>
    <col min="6383" max="6383" width="15.7109375" customWidth="1"/>
    <col min="6384" max="6385" width="6.42578125" customWidth="1"/>
    <col min="6386" max="6386" width="24.5703125" customWidth="1"/>
    <col min="6387" max="6387" width="34.7109375" customWidth="1"/>
    <col min="6388" max="6388" width="16.42578125" customWidth="1"/>
    <col min="6389" max="6389" width="16" bestFit="1" customWidth="1"/>
    <col min="6390" max="6390" width="29.140625" customWidth="1"/>
    <col min="6391" max="6391" width="15.7109375" customWidth="1"/>
    <col min="6392" max="6393" width="6.42578125" customWidth="1"/>
    <col min="6394" max="6394" width="24.5703125" customWidth="1"/>
    <col min="6395" max="6395" width="34.7109375" customWidth="1"/>
    <col min="6396" max="6396" width="16.42578125" customWidth="1"/>
    <col min="6397" max="6397" width="16" bestFit="1" customWidth="1"/>
    <col min="6398" max="6398" width="29.140625" customWidth="1"/>
    <col min="6399" max="6399" width="15.7109375" customWidth="1"/>
    <col min="6400" max="6401" width="6.42578125" customWidth="1"/>
    <col min="6402" max="6402" width="24.5703125" customWidth="1"/>
    <col min="6403" max="6403" width="34.7109375" customWidth="1"/>
    <col min="6404" max="6404" width="16.42578125" customWidth="1"/>
    <col min="6405" max="6405" width="16" bestFit="1" customWidth="1"/>
    <col min="6406" max="6406" width="29.140625" customWidth="1"/>
    <col min="6407" max="6407" width="15.7109375" customWidth="1"/>
    <col min="6408" max="6409" width="6.42578125" customWidth="1"/>
    <col min="6410" max="6410" width="24.5703125" customWidth="1"/>
    <col min="6411" max="6411" width="34.7109375" customWidth="1"/>
    <col min="6412" max="6412" width="16.42578125" customWidth="1"/>
    <col min="6413" max="6413" width="16" bestFit="1" customWidth="1"/>
    <col min="6414" max="6414" width="29.140625" customWidth="1"/>
    <col min="6415" max="6415" width="15.7109375" customWidth="1"/>
    <col min="6416" max="6417" width="6.42578125" customWidth="1"/>
    <col min="6418" max="6418" width="24.5703125" customWidth="1"/>
    <col min="6419" max="6419" width="34.7109375" customWidth="1"/>
    <col min="6420" max="6420" width="16.42578125" customWidth="1"/>
    <col min="6421" max="6421" width="16" bestFit="1" customWidth="1"/>
    <col min="6422" max="6422" width="29.140625" customWidth="1"/>
    <col min="6423" max="6423" width="15.7109375" customWidth="1"/>
    <col min="6424" max="6425" width="6.42578125" customWidth="1"/>
    <col min="6426" max="6426" width="24.5703125" customWidth="1"/>
    <col min="6427" max="6427" width="34.7109375" customWidth="1"/>
    <col min="6428" max="6428" width="16.42578125" customWidth="1"/>
    <col min="6429" max="6429" width="16" bestFit="1" customWidth="1"/>
    <col min="6430" max="6430" width="29.140625" customWidth="1"/>
    <col min="6431" max="6431" width="15.7109375" customWidth="1"/>
    <col min="6432" max="6433" width="6.42578125" customWidth="1"/>
    <col min="6434" max="6434" width="24.5703125" customWidth="1"/>
    <col min="6435" max="6435" width="34.7109375" customWidth="1"/>
    <col min="6436" max="6436" width="16.42578125" customWidth="1"/>
    <col min="6437" max="6437" width="16" bestFit="1" customWidth="1"/>
    <col min="6438" max="6438" width="29.140625" customWidth="1"/>
    <col min="6439" max="6439" width="15.7109375" customWidth="1"/>
    <col min="6440" max="6441" width="6.42578125" customWidth="1"/>
    <col min="6442" max="6442" width="24.5703125" customWidth="1"/>
    <col min="6443" max="6443" width="34.7109375" customWidth="1"/>
    <col min="6444" max="6444" width="16.42578125" customWidth="1"/>
    <col min="6445" max="6445" width="16" bestFit="1" customWidth="1"/>
    <col min="6446" max="6446" width="29.140625" customWidth="1"/>
    <col min="6447" max="6447" width="15.7109375" customWidth="1"/>
    <col min="6448" max="6449" width="6.42578125" customWidth="1"/>
    <col min="6450" max="6450" width="24.5703125" customWidth="1"/>
    <col min="6451" max="6451" width="34.7109375" customWidth="1"/>
    <col min="6452" max="6452" width="16.42578125" customWidth="1"/>
    <col min="6453" max="6453" width="16" bestFit="1" customWidth="1"/>
    <col min="6454" max="6454" width="29.140625" customWidth="1"/>
    <col min="6455" max="6455" width="15.7109375" customWidth="1"/>
    <col min="6456" max="6457" width="6.42578125" customWidth="1"/>
    <col min="6458" max="6458" width="24.5703125" customWidth="1"/>
    <col min="6459" max="6459" width="34.7109375" customWidth="1"/>
    <col min="6460" max="6460" width="16.42578125" customWidth="1"/>
    <col min="6461" max="6461" width="16" bestFit="1" customWidth="1"/>
    <col min="6462" max="6462" width="29.140625" customWidth="1"/>
    <col min="6463" max="6463" width="15.7109375" customWidth="1"/>
    <col min="6464" max="6465" width="6.42578125" customWidth="1"/>
    <col min="6466" max="6466" width="24.5703125" customWidth="1"/>
    <col min="6467" max="6467" width="34.7109375" customWidth="1"/>
    <col min="6468" max="6468" width="16.42578125" customWidth="1"/>
    <col min="6469" max="6469" width="16" bestFit="1" customWidth="1"/>
    <col min="6470" max="6470" width="29.140625" customWidth="1"/>
    <col min="6471" max="6471" width="15.7109375" customWidth="1"/>
    <col min="6472" max="6473" width="6.42578125" customWidth="1"/>
    <col min="6474" max="6474" width="24.5703125" customWidth="1"/>
    <col min="6475" max="6475" width="34.7109375" customWidth="1"/>
    <col min="6476" max="6476" width="16.42578125" customWidth="1"/>
    <col min="6477" max="6477" width="16" bestFit="1" customWidth="1"/>
    <col min="6478" max="6478" width="29.140625" customWidth="1"/>
    <col min="6479" max="6479" width="15.7109375" customWidth="1"/>
    <col min="6480" max="6481" width="6.42578125" customWidth="1"/>
    <col min="6482" max="6482" width="24.5703125" customWidth="1"/>
    <col min="6483" max="6483" width="34.7109375" customWidth="1"/>
    <col min="6484" max="6484" width="16.42578125" customWidth="1"/>
    <col min="6485" max="6485" width="16" bestFit="1" customWidth="1"/>
    <col min="6486" max="6486" width="29.140625" customWidth="1"/>
    <col min="6487" max="6487" width="15.7109375" customWidth="1"/>
    <col min="6488" max="6489" width="6.42578125" customWidth="1"/>
    <col min="6490" max="6490" width="24.5703125" customWidth="1"/>
    <col min="6491" max="6491" width="34.7109375" customWidth="1"/>
    <col min="6492" max="6492" width="16.42578125" customWidth="1"/>
    <col min="6493" max="6493" width="16" bestFit="1" customWidth="1"/>
    <col min="6494" max="6494" width="29.140625" customWidth="1"/>
    <col min="6495" max="6495" width="15.7109375" customWidth="1"/>
    <col min="6496" max="6497" width="6.42578125" customWidth="1"/>
    <col min="6498" max="6498" width="24.5703125" customWidth="1"/>
    <col min="6499" max="6499" width="34.7109375" customWidth="1"/>
    <col min="6500" max="6500" width="16.42578125" customWidth="1"/>
    <col min="6501" max="6501" width="16" bestFit="1" customWidth="1"/>
    <col min="6502" max="6502" width="29.140625" customWidth="1"/>
    <col min="6503" max="6503" width="15.7109375" customWidth="1"/>
    <col min="6504" max="6505" width="6.42578125" customWidth="1"/>
    <col min="6506" max="6506" width="24.5703125" customWidth="1"/>
    <col min="6507" max="6507" width="34.7109375" customWidth="1"/>
    <col min="6508" max="6508" width="16.42578125" customWidth="1"/>
    <col min="6509" max="6509" width="16" bestFit="1" customWidth="1"/>
    <col min="6510" max="6510" width="29.140625" customWidth="1"/>
    <col min="6511" max="6511" width="15.7109375" customWidth="1"/>
    <col min="6512" max="6513" width="6.42578125" customWidth="1"/>
    <col min="6514" max="6514" width="24.5703125" customWidth="1"/>
    <col min="6515" max="6515" width="34.7109375" customWidth="1"/>
    <col min="6516" max="6516" width="16.42578125" customWidth="1"/>
    <col min="6517" max="6517" width="16" bestFit="1" customWidth="1"/>
    <col min="6518" max="6518" width="29.140625" customWidth="1"/>
    <col min="6519" max="6519" width="15.7109375" customWidth="1"/>
    <col min="6520" max="6521" width="6.42578125" customWidth="1"/>
    <col min="6522" max="6522" width="24.5703125" customWidth="1"/>
    <col min="6523" max="6523" width="34.7109375" customWidth="1"/>
    <col min="6524" max="6524" width="16.42578125" customWidth="1"/>
    <col min="6525" max="6525" width="16" bestFit="1" customWidth="1"/>
    <col min="6526" max="6526" width="29.140625" customWidth="1"/>
    <col min="6527" max="6527" width="15.7109375" customWidth="1"/>
    <col min="6528" max="6529" width="6.42578125" customWidth="1"/>
    <col min="6530" max="6530" width="24.5703125" customWidth="1"/>
    <col min="6531" max="6531" width="34.7109375" customWidth="1"/>
    <col min="6532" max="6532" width="16.42578125" customWidth="1"/>
    <col min="6533" max="6533" width="16" bestFit="1" customWidth="1"/>
    <col min="6534" max="6534" width="29.140625" customWidth="1"/>
    <col min="6535" max="6535" width="15.7109375" customWidth="1"/>
    <col min="6536" max="6537" width="6.42578125" customWidth="1"/>
    <col min="6538" max="6538" width="24.5703125" customWidth="1"/>
    <col min="6539" max="6539" width="34.7109375" customWidth="1"/>
    <col min="6540" max="6540" width="16.42578125" customWidth="1"/>
    <col min="6541" max="6541" width="16" bestFit="1" customWidth="1"/>
    <col min="6542" max="6542" width="29.140625" customWidth="1"/>
    <col min="6543" max="6543" width="15.7109375" customWidth="1"/>
    <col min="6544" max="6545" width="6.42578125" customWidth="1"/>
    <col min="6546" max="6546" width="24.5703125" customWidth="1"/>
    <col min="6547" max="6547" width="34.7109375" customWidth="1"/>
    <col min="6548" max="6548" width="16.42578125" customWidth="1"/>
    <col min="6549" max="6549" width="16" bestFit="1" customWidth="1"/>
    <col min="6550" max="6550" width="29.140625" customWidth="1"/>
    <col min="6551" max="6551" width="15.7109375" customWidth="1"/>
    <col min="6552" max="6553" width="6.42578125" customWidth="1"/>
    <col min="6554" max="6554" width="24.5703125" customWidth="1"/>
    <col min="6555" max="6555" width="34.7109375" customWidth="1"/>
    <col min="6556" max="6556" width="16.42578125" customWidth="1"/>
    <col min="6557" max="6557" width="16" bestFit="1" customWidth="1"/>
    <col min="6558" max="6558" width="29.140625" customWidth="1"/>
    <col min="6559" max="6559" width="15.7109375" customWidth="1"/>
    <col min="6560" max="6561" width="6.42578125" customWidth="1"/>
    <col min="6562" max="6562" width="24.5703125" customWidth="1"/>
    <col min="6563" max="6563" width="34.7109375" customWidth="1"/>
    <col min="6564" max="6564" width="16.42578125" customWidth="1"/>
    <col min="6565" max="6565" width="16" bestFit="1" customWidth="1"/>
    <col min="6566" max="6566" width="29.140625" customWidth="1"/>
    <col min="6567" max="6567" width="15.7109375" customWidth="1"/>
    <col min="6568" max="6569" width="6.42578125" customWidth="1"/>
    <col min="6570" max="6570" width="24.5703125" customWidth="1"/>
    <col min="6571" max="6571" width="34.7109375" customWidth="1"/>
    <col min="6572" max="6572" width="16.42578125" customWidth="1"/>
    <col min="6573" max="6573" width="16" bestFit="1" customWidth="1"/>
    <col min="6574" max="6574" width="29.140625" customWidth="1"/>
    <col min="6575" max="6575" width="15.7109375" customWidth="1"/>
    <col min="6576" max="6577" width="6.42578125" customWidth="1"/>
    <col min="6578" max="6578" width="24.5703125" customWidth="1"/>
    <col min="6579" max="6579" width="34.7109375" customWidth="1"/>
    <col min="6580" max="6580" width="16.42578125" customWidth="1"/>
    <col min="6581" max="6581" width="16" bestFit="1" customWidth="1"/>
    <col min="6582" max="6582" width="29.140625" customWidth="1"/>
    <col min="6583" max="6583" width="15.7109375" customWidth="1"/>
    <col min="6584" max="6585" width="6.42578125" customWidth="1"/>
    <col min="6586" max="6586" width="24.5703125" customWidth="1"/>
    <col min="6587" max="6587" width="34.7109375" customWidth="1"/>
    <col min="6588" max="6588" width="16.42578125" customWidth="1"/>
    <col min="6589" max="6589" width="16" bestFit="1" customWidth="1"/>
    <col min="6590" max="6590" width="29.140625" customWidth="1"/>
    <col min="6591" max="6591" width="15.7109375" customWidth="1"/>
    <col min="6592" max="6593" width="6.42578125" customWidth="1"/>
    <col min="6594" max="6594" width="24.5703125" customWidth="1"/>
    <col min="6595" max="6595" width="34.7109375" customWidth="1"/>
    <col min="6596" max="6596" width="16.42578125" customWidth="1"/>
    <col min="6597" max="6597" width="16" bestFit="1" customWidth="1"/>
    <col min="6598" max="6598" width="29.140625" customWidth="1"/>
    <col min="6599" max="6599" width="15.7109375" customWidth="1"/>
    <col min="6600" max="6601" width="6.42578125" customWidth="1"/>
    <col min="6602" max="6602" width="24.5703125" customWidth="1"/>
    <col min="6603" max="6603" width="34.7109375" customWidth="1"/>
    <col min="6604" max="6604" width="16.42578125" customWidth="1"/>
    <col min="6605" max="6605" width="16" bestFit="1" customWidth="1"/>
    <col min="6606" max="6606" width="29.140625" customWidth="1"/>
    <col min="6607" max="6607" width="15.7109375" customWidth="1"/>
    <col min="6608" max="6609" width="6.42578125" customWidth="1"/>
    <col min="6610" max="6610" width="24.5703125" customWidth="1"/>
    <col min="6611" max="6611" width="34.7109375" customWidth="1"/>
    <col min="6612" max="6612" width="16.42578125" customWidth="1"/>
    <col min="6613" max="6613" width="16" bestFit="1" customWidth="1"/>
    <col min="6614" max="6614" width="29.140625" customWidth="1"/>
    <col min="6615" max="6615" width="15.7109375" customWidth="1"/>
    <col min="6616" max="6617" width="6.42578125" customWidth="1"/>
    <col min="6618" max="6618" width="24.5703125" customWidth="1"/>
    <col min="6619" max="6619" width="34.7109375" customWidth="1"/>
    <col min="6620" max="6620" width="16.42578125" customWidth="1"/>
    <col min="6621" max="6621" width="16" bestFit="1" customWidth="1"/>
    <col min="6622" max="6622" width="29.140625" customWidth="1"/>
    <col min="6623" max="6623" width="15.7109375" customWidth="1"/>
    <col min="6624" max="6625" width="6.42578125" customWidth="1"/>
    <col min="6626" max="6626" width="24.5703125" customWidth="1"/>
    <col min="6627" max="6627" width="34.7109375" customWidth="1"/>
    <col min="6628" max="6628" width="16.42578125" customWidth="1"/>
    <col min="6629" max="6629" width="16" bestFit="1" customWidth="1"/>
    <col min="6630" max="6630" width="29.140625" customWidth="1"/>
    <col min="6631" max="6631" width="15.7109375" customWidth="1"/>
    <col min="6632" max="6633" width="6.42578125" customWidth="1"/>
    <col min="6634" max="6634" width="24.5703125" customWidth="1"/>
    <col min="6635" max="6635" width="34.7109375" customWidth="1"/>
    <col min="6636" max="6636" width="16.42578125" customWidth="1"/>
    <col min="6637" max="6637" width="16" bestFit="1" customWidth="1"/>
    <col min="6638" max="6638" width="29.140625" customWidth="1"/>
    <col min="6639" max="6639" width="15.7109375" customWidth="1"/>
    <col min="6640" max="6641" width="6.42578125" customWidth="1"/>
    <col min="6642" max="6642" width="24.5703125" customWidth="1"/>
    <col min="6643" max="6643" width="34.7109375" customWidth="1"/>
    <col min="6644" max="6644" width="16.42578125" customWidth="1"/>
    <col min="6645" max="6645" width="16" bestFit="1" customWidth="1"/>
    <col min="6646" max="6646" width="29.140625" customWidth="1"/>
    <col min="6647" max="6647" width="15.7109375" customWidth="1"/>
    <col min="6648" max="6649" width="6.42578125" customWidth="1"/>
    <col min="6650" max="6650" width="24.5703125" customWidth="1"/>
    <col min="6651" max="6651" width="34.7109375" customWidth="1"/>
    <col min="6652" max="6652" width="16.42578125" customWidth="1"/>
    <col min="6653" max="6653" width="16" bestFit="1" customWidth="1"/>
    <col min="6654" max="6654" width="29.140625" customWidth="1"/>
    <col min="6655" max="6655" width="15.7109375" customWidth="1"/>
    <col min="6656" max="6657" width="6.42578125" customWidth="1"/>
    <col min="6658" max="6658" width="24.5703125" customWidth="1"/>
    <col min="6659" max="6659" width="34.7109375" customWidth="1"/>
    <col min="6660" max="6660" width="16.42578125" customWidth="1"/>
    <col min="6661" max="6661" width="16" bestFit="1" customWidth="1"/>
    <col min="6662" max="6662" width="29.140625" customWidth="1"/>
    <col min="6663" max="6663" width="15.7109375" customWidth="1"/>
    <col min="6664" max="6665" width="6.42578125" customWidth="1"/>
    <col min="6666" max="6666" width="24.5703125" customWidth="1"/>
    <col min="6667" max="6667" width="34.7109375" customWidth="1"/>
    <col min="6668" max="6668" width="16.42578125" customWidth="1"/>
    <col min="6669" max="6669" width="16" bestFit="1" customWidth="1"/>
    <col min="6670" max="6670" width="29.140625" customWidth="1"/>
    <col min="6671" max="6671" width="15.7109375" customWidth="1"/>
    <col min="6672" max="6673" width="6.42578125" customWidth="1"/>
    <col min="6674" max="6674" width="24.5703125" customWidth="1"/>
    <col min="6675" max="6675" width="34.7109375" customWidth="1"/>
    <col min="6676" max="6676" width="16.42578125" customWidth="1"/>
    <col min="6677" max="6677" width="16" bestFit="1" customWidth="1"/>
    <col min="6678" max="6678" width="29.140625" customWidth="1"/>
    <col min="6679" max="6679" width="15.7109375" customWidth="1"/>
    <col min="6680" max="6681" width="6.42578125" customWidth="1"/>
    <col min="6682" max="6682" width="24.5703125" customWidth="1"/>
    <col min="6683" max="6683" width="34.7109375" customWidth="1"/>
    <col min="6684" max="6684" width="16.42578125" customWidth="1"/>
    <col min="6685" max="6685" width="16" bestFit="1" customWidth="1"/>
    <col min="6686" max="6686" width="29.140625" customWidth="1"/>
    <col min="6687" max="6687" width="15.7109375" customWidth="1"/>
    <col min="6688" max="6689" width="6.42578125" customWidth="1"/>
    <col min="6690" max="6690" width="24.5703125" customWidth="1"/>
    <col min="6691" max="6691" width="34.7109375" customWidth="1"/>
    <col min="6692" max="6692" width="16.42578125" customWidth="1"/>
    <col min="6693" max="6693" width="16" bestFit="1" customWidth="1"/>
    <col min="6694" max="6694" width="29.140625" customWidth="1"/>
    <col min="6695" max="6695" width="15.7109375" customWidth="1"/>
    <col min="6696" max="6697" width="6.42578125" customWidth="1"/>
    <col min="6698" max="6698" width="24.5703125" customWidth="1"/>
    <col min="6699" max="6699" width="34.7109375" customWidth="1"/>
    <col min="6700" max="6700" width="16.42578125" customWidth="1"/>
    <col min="6701" max="6701" width="16" bestFit="1" customWidth="1"/>
    <col min="6702" max="6702" width="29.140625" customWidth="1"/>
    <col min="6703" max="6703" width="15.7109375" customWidth="1"/>
    <col min="6704" max="6705" width="6.42578125" customWidth="1"/>
    <col min="6706" max="6706" width="24.5703125" customWidth="1"/>
    <col min="6707" max="6707" width="34.7109375" customWidth="1"/>
    <col min="6708" max="6708" width="16.42578125" customWidth="1"/>
    <col min="6709" max="6709" width="16" bestFit="1" customWidth="1"/>
    <col min="6710" max="6710" width="29.140625" customWidth="1"/>
    <col min="6711" max="6711" width="15.7109375" customWidth="1"/>
    <col min="6712" max="6713" width="6.42578125" customWidth="1"/>
    <col min="6714" max="6714" width="24.5703125" customWidth="1"/>
    <col min="6715" max="6715" width="34.7109375" customWidth="1"/>
    <col min="6716" max="6716" width="16.42578125" customWidth="1"/>
    <col min="6717" max="6717" width="16" bestFit="1" customWidth="1"/>
    <col min="6718" max="6718" width="29.140625" customWidth="1"/>
    <col min="6719" max="6719" width="15.7109375" customWidth="1"/>
    <col min="6720" max="6721" width="6.42578125" customWidth="1"/>
    <col min="6722" max="6722" width="24.5703125" customWidth="1"/>
    <col min="6723" max="6723" width="34.7109375" customWidth="1"/>
    <col min="6724" max="6724" width="16.42578125" customWidth="1"/>
    <col min="6725" max="6725" width="16" bestFit="1" customWidth="1"/>
    <col min="6726" max="6726" width="29.140625" customWidth="1"/>
    <col min="6727" max="6727" width="15.7109375" customWidth="1"/>
    <col min="6728" max="6729" width="6.42578125" customWidth="1"/>
    <col min="6730" max="6730" width="24.5703125" customWidth="1"/>
    <col min="6731" max="6731" width="34.7109375" customWidth="1"/>
    <col min="6732" max="6732" width="16.42578125" customWidth="1"/>
    <col min="6733" max="6733" width="16" bestFit="1" customWidth="1"/>
    <col min="6734" max="6734" width="29.140625" customWidth="1"/>
    <col min="6735" max="6735" width="15.7109375" customWidth="1"/>
    <col min="6736" max="6737" width="6.42578125" customWidth="1"/>
    <col min="6738" max="6738" width="24.5703125" customWidth="1"/>
    <col min="6739" max="6739" width="34.7109375" customWidth="1"/>
    <col min="6740" max="6740" width="16.42578125" customWidth="1"/>
    <col min="6741" max="6741" width="16" bestFit="1" customWidth="1"/>
    <col min="6742" max="6742" width="29.140625" customWidth="1"/>
    <col min="6743" max="6743" width="15.7109375" customWidth="1"/>
    <col min="6744" max="6745" width="6.42578125" customWidth="1"/>
    <col min="6746" max="6746" width="24.5703125" customWidth="1"/>
    <col min="6747" max="6747" width="34.7109375" customWidth="1"/>
    <col min="6748" max="6748" width="16.42578125" customWidth="1"/>
    <col min="6749" max="6749" width="16" bestFit="1" customWidth="1"/>
    <col min="6750" max="6750" width="29.140625" customWidth="1"/>
    <col min="6751" max="6751" width="15.7109375" customWidth="1"/>
    <col min="6752" max="6753" width="6.42578125" customWidth="1"/>
    <col min="6754" max="6754" width="24.5703125" customWidth="1"/>
    <col min="6755" max="6755" width="34.7109375" customWidth="1"/>
    <col min="6756" max="6756" width="16.42578125" customWidth="1"/>
    <col min="6757" max="6757" width="16" bestFit="1" customWidth="1"/>
    <col min="6758" max="6758" width="29.140625" customWidth="1"/>
    <col min="6759" max="6759" width="15.7109375" customWidth="1"/>
    <col min="6760" max="6761" width="6.42578125" customWidth="1"/>
    <col min="6762" max="6762" width="24.5703125" customWidth="1"/>
    <col min="6763" max="6763" width="34.7109375" customWidth="1"/>
    <col min="6764" max="6764" width="16.42578125" customWidth="1"/>
    <col min="6765" max="6765" width="16" bestFit="1" customWidth="1"/>
    <col min="6766" max="6766" width="29.140625" customWidth="1"/>
    <col min="6767" max="6767" width="15.7109375" customWidth="1"/>
    <col min="6768" max="6769" width="6.42578125" customWidth="1"/>
    <col min="6770" max="6770" width="24.5703125" customWidth="1"/>
    <col min="6771" max="6771" width="34.7109375" customWidth="1"/>
    <col min="6772" max="6772" width="16.42578125" customWidth="1"/>
    <col min="6773" max="6773" width="16" bestFit="1" customWidth="1"/>
    <col min="6774" max="6774" width="29.140625" customWidth="1"/>
    <col min="6775" max="6775" width="15.7109375" customWidth="1"/>
    <col min="6776" max="6777" width="6.42578125" customWidth="1"/>
    <col min="6778" max="6778" width="24.5703125" customWidth="1"/>
    <col min="6779" max="6779" width="34.7109375" customWidth="1"/>
    <col min="6780" max="6780" width="16.42578125" customWidth="1"/>
    <col min="6781" max="6781" width="16" bestFit="1" customWidth="1"/>
    <col min="6782" max="6782" width="29.140625" customWidth="1"/>
    <col min="6783" max="6783" width="15.7109375" customWidth="1"/>
    <col min="6784" max="6785" width="6.42578125" customWidth="1"/>
    <col min="6786" max="6786" width="24.5703125" customWidth="1"/>
    <col min="6787" max="6787" width="34.7109375" customWidth="1"/>
    <col min="6788" max="6788" width="16.42578125" customWidth="1"/>
    <col min="6789" max="6789" width="16" bestFit="1" customWidth="1"/>
    <col min="6790" max="6790" width="29.140625" customWidth="1"/>
    <col min="6791" max="6791" width="15.7109375" customWidth="1"/>
    <col min="6792" max="6793" width="6.42578125" customWidth="1"/>
    <col min="6794" max="6794" width="24.5703125" customWidth="1"/>
    <col min="6795" max="6795" width="34.7109375" customWidth="1"/>
    <col min="6796" max="6796" width="16.42578125" customWidth="1"/>
    <col min="6797" max="6797" width="16" bestFit="1" customWidth="1"/>
    <col min="6798" max="6798" width="29.140625" customWidth="1"/>
    <col min="6799" max="6799" width="15.7109375" customWidth="1"/>
    <col min="6800" max="6801" width="6.42578125" customWidth="1"/>
    <col min="6802" max="6802" width="24.5703125" customWidth="1"/>
    <col min="6803" max="6803" width="34.7109375" customWidth="1"/>
    <col min="6804" max="6804" width="16.42578125" customWidth="1"/>
    <col min="6805" max="6805" width="16" bestFit="1" customWidth="1"/>
    <col min="6806" max="6806" width="29.140625" customWidth="1"/>
    <col min="6807" max="6807" width="15.7109375" customWidth="1"/>
    <col min="6808" max="6809" width="6.42578125" customWidth="1"/>
    <col min="6810" max="6810" width="24.5703125" customWidth="1"/>
    <col min="6811" max="6811" width="34.7109375" customWidth="1"/>
    <col min="6812" max="6812" width="16.42578125" customWidth="1"/>
    <col min="6813" max="6813" width="16" bestFit="1" customWidth="1"/>
    <col min="6814" max="6814" width="29.140625" customWidth="1"/>
    <col min="6815" max="6815" width="15.7109375" customWidth="1"/>
    <col min="6816" max="6817" width="6.42578125" customWidth="1"/>
    <col min="6818" max="6818" width="24.5703125" customWidth="1"/>
    <col min="6819" max="6819" width="34.7109375" customWidth="1"/>
    <col min="6820" max="6820" width="16.42578125" customWidth="1"/>
    <col min="6821" max="6821" width="16" bestFit="1" customWidth="1"/>
    <col min="6822" max="6822" width="29.140625" customWidth="1"/>
    <col min="6823" max="6823" width="15.7109375" customWidth="1"/>
    <col min="6824" max="6825" width="6.42578125" customWidth="1"/>
    <col min="6826" max="6826" width="24.5703125" customWidth="1"/>
    <col min="6827" max="6827" width="34.7109375" customWidth="1"/>
    <col min="6828" max="6828" width="16.42578125" customWidth="1"/>
    <col min="6829" max="6829" width="16" bestFit="1" customWidth="1"/>
    <col min="6830" max="6830" width="29.140625" customWidth="1"/>
    <col min="6831" max="6831" width="15.7109375" customWidth="1"/>
    <col min="6832" max="6833" width="6.42578125" customWidth="1"/>
    <col min="6834" max="6834" width="24.5703125" customWidth="1"/>
    <col min="6835" max="6835" width="34.7109375" customWidth="1"/>
    <col min="6836" max="6836" width="16.42578125" customWidth="1"/>
    <col min="6837" max="6837" width="16" bestFit="1" customWidth="1"/>
    <col min="6838" max="6838" width="29.140625" customWidth="1"/>
    <col min="6839" max="6839" width="15.7109375" customWidth="1"/>
    <col min="6840" max="6841" width="6.42578125" customWidth="1"/>
    <col min="6842" max="6842" width="24.5703125" customWidth="1"/>
    <col min="6843" max="6843" width="34.7109375" customWidth="1"/>
    <col min="6844" max="6844" width="16.42578125" customWidth="1"/>
    <col min="6845" max="6845" width="16" bestFit="1" customWidth="1"/>
    <col min="6846" max="6846" width="29.140625" customWidth="1"/>
    <col min="6847" max="6847" width="15.7109375" customWidth="1"/>
    <col min="6848" max="6849" width="6.42578125" customWidth="1"/>
    <col min="6850" max="6850" width="24.5703125" customWidth="1"/>
    <col min="6851" max="6851" width="34.7109375" customWidth="1"/>
    <col min="6852" max="6852" width="16.42578125" customWidth="1"/>
    <col min="6853" max="6853" width="16" bestFit="1" customWidth="1"/>
    <col min="6854" max="6854" width="29.140625" customWidth="1"/>
    <col min="6855" max="6855" width="15.7109375" customWidth="1"/>
    <col min="6856" max="6857" width="6.42578125" customWidth="1"/>
    <col min="6858" max="6858" width="24.5703125" customWidth="1"/>
    <col min="6859" max="6859" width="34.7109375" customWidth="1"/>
    <col min="6860" max="6860" width="16.42578125" customWidth="1"/>
    <col min="6861" max="6861" width="16" bestFit="1" customWidth="1"/>
    <col min="6862" max="6862" width="29.140625" customWidth="1"/>
    <col min="6863" max="6863" width="15.7109375" customWidth="1"/>
    <col min="6864" max="6865" width="6.42578125" customWidth="1"/>
    <col min="6866" max="6866" width="24.5703125" customWidth="1"/>
    <col min="6867" max="6867" width="34.7109375" customWidth="1"/>
    <col min="6868" max="6868" width="16.42578125" customWidth="1"/>
    <col min="6869" max="6869" width="16" bestFit="1" customWidth="1"/>
    <col min="6870" max="6870" width="29.140625" customWidth="1"/>
    <col min="6871" max="6871" width="15.7109375" customWidth="1"/>
    <col min="6872" max="6873" width="6.42578125" customWidth="1"/>
    <col min="6874" max="6874" width="24.5703125" customWidth="1"/>
    <col min="6875" max="6875" width="34.7109375" customWidth="1"/>
    <col min="6876" max="6876" width="16.42578125" customWidth="1"/>
    <col min="6877" max="6877" width="16" bestFit="1" customWidth="1"/>
    <col min="6878" max="6878" width="29.140625" customWidth="1"/>
    <col min="6879" max="6879" width="15.7109375" customWidth="1"/>
    <col min="6880" max="6881" width="6.42578125" customWidth="1"/>
    <col min="6882" max="6882" width="24.5703125" customWidth="1"/>
    <col min="6883" max="6883" width="34.7109375" customWidth="1"/>
    <col min="6884" max="6884" width="16.42578125" customWidth="1"/>
    <col min="6885" max="6885" width="16" bestFit="1" customWidth="1"/>
    <col min="6886" max="6886" width="29.140625" customWidth="1"/>
    <col min="6887" max="6887" width="15.7109375" customWidth="1"/>
    <col min="6888" max="6889" width="6.42578125" customWidth="1"/>
    <col min="6890" max="6890" width="24.5703125" customWidth="1"/>
    <col min="6891" max="6891" width="34.7109375" customWidth="1"/>
    <col min="6892" max="6892" width="16.42578125" customWidth="1"/>
    <col min="6893" max="6893" width="16" bestFit="1" customWidth="1"/>
    <col min="6894" max="6894" width="29.140625" customWidth="1"/>
    <col min="6895" max="6895" width="15.7109375" customWidth="1"/>
    <col min="6896" max="6897" width="6.42578125" customWidth="1"/>
    <col min="6898" max="6898" width="24.5703125" customWidth="1"/>
    <col min="6899" max="6899" width="34.7109375" customWidth="1"/>
    <col min="6900" max="6900" width="16.42578125" customWidth="1"/>
    <col min="6901" max="6901" width="16" bestFit="1" customWidth="1"/>
    <col min="6902" max="6902" width="29.140625" customWidth="1"/>
    <col min="6903" max="6903" width="15.7109375" customWidth="1"/>
    <col min="6904" max="6905" width="6.42578125" customWidth="1"/>
    <col min="6906" max="6906" width="24.5703125" customWidth="1"/>
    <col min="6907" max="6907" width="34.7109375" customWidth="1"/>
    <col min="6908" max="6908" width="16.42578125" customWidth="1"/>
    <col min="6909" max="6909" width="16" bestFit="1" customWidth="1"/>
    <col min="6910" max="6910" width="29.140625" customWidth="1"/>
    <col min="6911" max="6911" width="15.7109375" customWidth="1"/>
    <col min="6912" max="6913" width="6.42578125" customWidth="1"/>
    <col min="6914" max="6914" width="24.5703125" customWidth="1"/>
    <col min="6915" max="6915" width="34.7109375" customWidth="1"/>
    <col min="6916" max="6916" width="16.42578125" customWidth="1"/>
    <col min="6917" max="6917" width="16" bestFit="1" customWidth="1"/>
    <col min="6918" max="6918" width="29.140625" customWidth="1"/>
    <col min="6919" max="6919" width="15.7109375" customWidth="1"/>
    <col min="6920" max="6921" width="6.42578125" customWidth="1"/>
    <col min="6922" max="6922" width="24.5703125" customWidth="1"/>
    <col min="6923" max="6923" width="34.7109375" customWidth="1"/>
    <col min="6924" max="6924" width="16.42578125" customWidth="1"/>
    <col min="6925" max="6925" width="16" bestFit="1" customWidth="1"/>
    <col min="6926" max="6926" width="29.140625" customWidth="1"/>
    <col min="6927" max="6927" width="15.7109375" customWidth="1"/>
    <col min="6928" max="6929" width="6.42578125" customWidth="1"/>
    <col min="6930" max="6930" width="24.5703125" customWidth="1"/>
    <col min="6931" max="6931" width="34.7109375" customWidth="1"/>
    <col min="6932" max="6932" width="16.42578125" customWidth="1"/>
    <col min="6933" max="6933" width="16" bestFit="1" customWidth="1"/>
    <col min="6934" max="6934" width="29.140625" customWidth="1"/>
    <col min="6935" max="6935" width="15.7109375" customWidth="1"/>
    <col min="6936" max="6937" width="6.42578125" customWidth="1"/>
    <col min="6938" max="6938" width="24.5703125" customWidth="1"/>
    <col min="6939" max="6939" width="34.7109375" customWidth="1"/>
    <col min="6940" max="6940" width="16.42578125" customWidth="1"/>
    <col min="6941" max="6941" width="16" bestFit="1" customWidth="1"/>
    <col min="6942" max="6942" width="29.140625" customWidth="1"/>
    <col min="6943" max="6943" width="15.7109375" customWidth="1"/>
    <col min="6944" max="6945" width="6.42578125" customWidth="1"/>
    <col min="6946" max="6946" width="24.5703125" customWidth="1"/>
    <col min="6947" max="6947" width="34.7109375" customWidth="1"/>
    <col min="6948" max="6948" width="16.42578125" customWidth="1"/>
    <col min="6949" max="6949" width="16" bestFit="1" customWidth="1"/>
    <col min="6950" max="6950" width="29.140625" customWidth="1"/>
    <col min="6951" max="6951" width="15.7109375" customWidth="1"/>
    <col min="6952" max="6953" width="6.42578125" customWidth="1"/>
    <col min="6954" max="6954" width="24.5703125" customWidth="1"/>
    <col min="6955" max="6955" width="34.7109375" customWidth="1"/>
    <col min="6956" max="6956" width="16.42578125" customWidth="1"/>
    <col min="6957" max="6957" width="16" bestFit="1" customWidth="1"/>
    <col min="6958" max="6958" width="29.140625" customWidth="1"/>
    <col min="6959" max="6959" width="15.7109375" customWidth="1"/>
    <col min="6960" max="6961" width="6.42578125" customWidth="1"/>
    <col min="6962" max="6962" width="24.5703125" customWidth="1"/>
    <col min="6963" max="6963" width="34.7109375" customWidth="1"/>
    <col min="6964" max="6964" width="16.42578125" customWidth="1"/>
    <col min="6965" max="6965" width="16" bestFit="1" customWidth="1"/>
    <col min="6966" max="6966" width="29.140625" customWidth="1"/>
    <col min="6967" max="6967" width="15.7109375" customWidth="1"/>
    <col min="6968" max="6969" width="6.42578125" customWidth="1"/>
    <col min="6970" max="6970" width="24.5703125" customWidth="1"/>
    <col min="6971" max="6971" width="34.7109375" customWidth="1"/>
    <col min="6972" max="6972" width="16.42578125" customWidth="1"/>
    <col min="6973" max="6973" width="16" bestFit="1" customWidth="1"/>
    <col min="6974" max="6974" width="29.140625" customWidth="1"/>
    <col min="6975" max="6975" width="15.7109375" customWidth="1"/>
    <col min="6976" max="6977" width="6.42578125" customWidth="1"/>
    <col min="6978" max="6978" width="24.5703125" customWidth="1"/>
    <col min="6979" max="6979" width="34.7109375" customWidth="1"/>
    <col min="6980" max="6980" width="16.42578125" customWidth="1"/>
    <col min="6981" max="6981" width="16" bestFit="1" customWidth="1"/>
    <col min="6982" max="6982" width="29.140625" customWidth="1"/>
    <col min="6983" max="6983" width="15.7109375" customWidth="1"/>
    <col min="6984" max="6985" width="6.42578125" customWidth="1"/>
    <col min="6986" max="6986" width="24.5703125" customWidth="1"/>
    <col min="6987" max="6987" width="34.7109375" customWidth="1"/>
    <col min="6988" max="6988" width="16.42578125" customWidth="1"/>
    <col min="6989" max="6989" width="16" bestFit="1" customWidth="1"/>
    <col min="6990" max="6990" width="29.140625" customWidth="1"/>
    <col min="6991" max="6991" width="15.7109375" customWidth="1"/>
    <col min="6992" max="6993" width="6.42578125" customWidth="1"/>
    <col min="6994" max="6994" width="24.5703125" customWidth="1"/>
    <col min="6995" max="6995" width="34.7109375" customWidth="1"/>
    <col min="6996" max="6996" width="16.42578125" customWidth="1"/>
    <col min="6997" max="6997" width="16" bestFit="1" customWidth="1"/>
    <col min="6998" max="6998" width="29.140625" customWidth="1"/>
    <col min="6999" max="6999" width="15.7109375" customWidth="1"/>
    <col min="7000" max="7001" width="6.42578125" customWidth="1"/>
    <col min="7002" max="7002" width="24.5703125" customWidth="1"/>
    <col min="7003" max="7003" width="34.7109375" customWidth="1"/>
    <col min="7004" max="7004" width="16.42578125" customWidth="1"/>
    <col min="7005" max="7005" width="16" bestFit="1" customWidth="1"/>
    <col min="7006" max="7006" width="29.140625" customWidth="1"/>
    <col min="7007" max="7007" width="15.7109375" customWidth="1"/>
    <col min="7008" max="7009" width="6.42578125" customWidth="1"/>
    <col min="7010" max="7010" width="24.5703125" customWidth="1"/>
    <col min="7011" max="7011" width="34.7109375" customWidth="1"/>
    <col min="7012" max="7012" width="16.42578125" customWidth="1"/>
    <col min="7013" max="7013" width="16" bestFit="1" customWidth="1"/>
    <col min="7014" max="7014" width="29.140625" customWidth="1"/>
    <col min="7015" max="7015" width="15.7109375" customWidth="1"/>
    <col min="7016" max="7017" width="6.42578125" customWidth="1"/>
    <col min="7018" max="7018" width="24.5703125" customWidth="1"/>
    <col min="7019" max="7019" width="34.7109375" customWidth="1"/>
    <col min="7020" max="7020" width="16.42578125" customWidth="1"/>
    <col min="7021" max="7021" width="16" bestFit="1" customWidth="1"/>
    <col min="7022" max="7022" width="29.140625" customWidth="1"/>
    <col min="7023" max="7023" width="15.7109375" customWidth="1"/>
    <col min="7024" max="7025" width="6.42578125" customWidth="1"/>
    <col min="7026" max="7026" width="24.5703125" customWidth="1"/>
    <col min="7027" max="7027" width="34.7109375" customWidth="1"/>
    <col min="7028" max="7028" width="16.42578125" customWidth="1"/>
    <col min="7029" max="7029" width="16" bestFit="1" customWidth="1"/>
    <col min="7030" max="7030" width="29.140625" customWidth="1"/>
    <col min="7031" max="7031" width="15.7109375" customWidth="1"/>
    <col min="7032" max="7033" width="6.42578125" customWidth="1"/>
    <col min="7034" max="7034" width="24.5703125" customWidth="1"/>
    <col min="7035" max="7035" width="34.7109375" customWidth="1"/>
    <col min="7036" max="7036" width="16.42578125" customWidth="1"/>
    <col min="7037" max="7037" width="16" bestFit="1" customWidth="1"/>
    <col min="7038" max="7038" width="29.140625" customWidth="1"/>
    <col min="7039" max="7039" width="15.7109375" customWidth="1"/>
    <col min="7040" max="7041" width="6.42578125" customWidth="1"/>
    <col min="7042" max="7042" width="24.5703125" customWidth="1"/>
    <col min="7043" max="7043" width="34.7109375" customWidth="1"/>
    <col min="7044" max="7044" width="16.42578125" customWidth="1"/>
    <col min="7045" max="7045" width="16" bestFit="1" customWidth="1"/>
    <col min="7046" max="7046" width="29.140625" customWidth="1"/>
    <col min="7047" max="7047" width="15.7109375" customWidth="1"/>
    <col min="7048" max="7049" width="6.42578125" customWidth="1"/>
    <col min="7050" max="7050" width="24.5703125" customWidth="1"/>
    <col min="7051" max="7051" width="34.7109375" customWidth="1"/>
    <col min="7052" max="7052" width="16.42578125" customWidth="1"/>
    <col min="7053" max="7053" width="16" bestFit="1" customWidth="1"/>
    <col min="7054" max="7054" width="29.140625" customWidth="1"/>
    <col min="7055" max="7055" width="15.7109375" customWidth="1"/>
    <col min="7056" max="7057" width="6.42578125" customWidth="1"/>
    <col min="7058" max="7058" width="24.5703125" customWidth="1"/>
    <col min="7059" max="7059" width="34.7109375" customWidth="1"/>
    <col min="7060" max="7060" width="16.42578125" customWidth="1"/>
    <col min="7061" max="7061" width="16" bestFit="1" customWidth="1"/>
    <col min="7062" max="7062" width="29.140625" customWidth="1"/>
    <col min="7063" max="7063" width="15.7109375" customWidth="1"/>
    <col min="7064" max="7065" width="6.42578125" customWidth="1"/>
    <col min="7066" max="7066" width="24.5703125" customWidth="1"/>
    <col min="7067" max="7067" width="34.7109375" customWidth="1"/>
    <col min="7068" max="7068" width="16.42578125" customWidth="1"/>
    <col min="7069" max="7069" width="16" bestFit="1" customWidth="1"/>
    <col min="7070" max="7070" width="29.140625" customWidth="1"/>
    <col min="7071" max="7071" width="15.7109375" customWidth="1"/>
    <col min="7072" max="7073" width="6.42578125" customWidth="1"/>
    <col min="7074" max="7074" width="24.5703125" customWidth="1"/>
    <col min="7075" max="7075" width="34.7109375" customWidth="1"/>
    <col min="7076" max="7076" width="16.42578125" customWidth="1"/>
    <col min="7077" max="7077" width="16" bestFit="1" customWidth="1"/>
    <col min="7078" max="7078" width="29.140625" customWidth="1"/>
    <col min="7079" max="7079" width="15.7109375" customWidth="1"/>
    <col min="7080" max="7081" width="6.42578125" customWidth="1"/>
    <col min="7082" max="7082" width="24.5703125" customWidth="1"/>
    <col min="7083" max="7083" width="34.7109375" customWidth="1"/>
    <col min="7084" max="7084" width="16.42578125" customWidth="1"/>
    <col min="7085" max="7085" width="16" bestFit="1" customWidth="1"/>
    <col min="7086" max="7086" width="29.140625" customWidth="1"/>
    <col min="7087" max="7087" width="15.7109375" customWidth="1"/>
    <col min="7088" max="7089" width="6.42578125" customWidth="1"/>
    <col min="7090" max="7090" width="24.5703125" customWidth="1"/>
    <col min="7091" max="7091" width="34.7109375" customWidth="1"/>
    <col min="7092" max="7092" width="16.42578125" customWidth="1"/>
    <col min="7093" max="7093" width="16" bestFit="1" customWidth="1"/>
    <col min="7094" max="7094" width="29.140625" customWidth="1"/>
    <col min="7095" max="7095" width="15.7109375" customWidth="1"/>
    <col min="7096" max="7097" width="6.42578125" customWidth="1"/>
    <col min="7098" max="7098" width="24.5703125" customWidth="1"/>
    <col min="7099" max="7099" width="34.7109375" customWidth="1"/>
    <col min="7100" max="7100" width="16.42578125" customWidth="1"/>
    <col min="7101" max="7101" width="16" bestFit="1" customWidth="1"/>
    <col min="7102" max="7102" width="29.140625" customWidth="1"/>
    <col min="7103" max="7103" width="15.7109375" customWidth="1"/>
    <col min="7104" max="7105" width="6.42578125" customWidth="1"/>
    <col min="7106" max="7106" width="24.5703125" customWidth="1"/>
    <col min="7107" max="7107" width="34.7109375" customWidth="1"/>
    <col min="7108" max="7108" width="16.42578125" customWidth="1"/>
    <col min="7109" max="7109" width="16" bestFit="1" customWidth="1"/>
    <col min="7110" max="7110" width="29.140625" customWidth="1"/>
    <col min="7111" max="7111" width="15.7109375" customWidth="1"/>
    <col min="7112" max="7113" width="6.42578125" customWidth="1"/>
    <col min="7114" max="7114" width="24.5703125" customWidth="1"/>
    <col min="7115" max="7115" width="34.7109375" customWidth="1"/>
    <col min="7116" max="7116" width="16.42578125" customWidth="1"/>
    <col min="7117" max="7117" width="16" bestFit="1" customWidth="1"/>
    <col min="7118" max="7118" width="29.140625" customWidth="1"/>
    <col min="7119" max="7119" width="15.7109375" customWidth="1"/>
    <col min="7120" max="7121" width="6.42578125" customWidth="1"/>
    <col min="7122" max="7122" width="24.5703125" customWidth="1"/>
    <col min="7123" max="7123" width="34.7109375" customWidth="1"/>
    <col min="7124" max="7124" width="16.42578125" customWidth="1"/>
    <col min="7125" max="7125" width="16" bestFit="1" customWidth="1"/>
    <col min="7126" max="7126" width="29.140625" customWidth="1"/>
    <col min="7127" max="7127" width="15.7109375" customWidth="1"/>
    <col min="7128" max="7129" width="6.42578125" customWidth="1"/>
    <col min="7130" max="7130" width="24.5703125" customWidth="1"/>
    <col min="7131" max="7131" width="34.7109375" customWidth="1"/>
    <col min="7132" max="7132" width="16.42578125" customWidth="1"/>
    <col min="7133" max="7133" width="16" bestFit="1" customWidth="1"/>
    <col min="7134" max="7134" width="29.140625" customWidth="1"/>
    <col min="7135" max="7135" width="15.7109375" customWidth="1"/>
    <col min="7136" max="7137" width="6.42578125" customWidth="1"/>
    <col min="7138" max="7138" width="24.5703125" customWidth="1"/>
    <col min="7139" max="7139" width="34.7109375" customWidth="1"/>
    <col min="7140" max="7140" width="16.42578125" customWidth="1"/>
    <col min="7141" max="7141" width="16" bestFit="1" customWidth="1"/>
    <col min="7142" max="7142" width="29.140625" customWidth="1"/>
    <col min="7143" max="7143" width="15.7109375" customWidth="1"/>
    <col min="7144" max="7145" width="6.42578125" customWidth="1"/>
    <col min="7146" max="7146" width="24.5703125" customWidth="1"/>
    <col min="7147" max="7147" width="34.7109375" customWidth="1"/>
    <col min="7148" max="7148" width="16.42578125" customWidth="1"/>
    <col min="7149" max="7149" width="16" bestFit="1" customWidth="1"/>
    <col min="7150" max="7150" width="29.140625" customWidth="1"/>
    <col min="7151" max="7151" width="15.7109375" customWidth="1"/>
    <col min="7152" max="7153" width="6.42578125" customWidth="1"/>
    <col min="7154" max="7154" width="24.5703125" customWidth="1"/>
    <col min="7155" max="7155" width="34.7109375" customWidth="1"/>
    <col min="7156" max="7156" width="16.42578125" customWidth="1"/>
    <col min="7157" max="7157" width="16" bestFit="1" customWidth="1"/>
    <col min="7158" max="7158" width="29.140625" customWidth="1"/>
    <col min="7159" max="7159" width="15.7109375" customWidth="1"/>
    <col min="7160" max="7161" width="6.42578125" customWidth="1"/>
    <col min="7162" max="7162" width="24.5703125" customWidth="1"/>
    <col min="7163" max="7163" width="34.7109375" customWidth="1"/>
    <col min="7164" max="7164" width="16.42578125" customWidth="1"/>
    <col min="7165" max="7165" width="16" bestFit="1" customWidth="1"/>
    <col min="7166" max="7166" width="29.140625" customWidth="1"/>
    <col min="7167" max="7167" width="15.7109375" customWidth="1"/>
    <col min="7168" max="7169" width="6.42578125" customWidth="1"/>
    <col min="7170" max="7170" width="24.5703125" customWidth="1"/>
    <col min="7171" max="7171" width="34.7109375" customWidth="1"/>
    <col min="7172" max="7172" width="16.42578125" customWidth="1"/>
    <col min="7173" max="7173" width="16" bestFit="1" customWidth="1"/>
    <col min="7174" max="7174" width="29.140625" customWidth="1"/>
    <col min="7175" max="7175" width="15.7109375" customWidth="1"/>
    <col min="7176" max="7177" width="6.42578125" customWidth="1"/>
    <col min="7178" max="7178" width="24.5703125" customWidth="1"/>
    <col min="7179" max="7179" width="34.7109375" customWidth="1"/>
    <col min="7180" max="7180" width="16.42578125" customWidth="1"/>
    <col min="7181" max="7181" width="16" bestFit="1" customWidth="1"/>
    <col min="7182" max="7182" width="29.140625" customWidth="1"/>
    <col min="7183" max="7183" width="15.7109375" customWidth="1"/>
    <col min="7184" max="7185" width="6.42578125" customWidth="1"/>
    <col min="7186" max="7186" width="24.5703125" customWidth="1"/>
    <col min="7187" max="7187" width="34.7109375" customWidth="1"/>
    <col min="7188" max="7188" width="16.42578125" customWidth="1"/>
    <col min="7189" max="7189" width="16" bestFit="1" customWidth="1"/>
    <col min="7190" max="7190" width="29.140625" customWidth="1"/>
    <col min="7191" max="7191" width="15.7109375" customWidth="1"/>
    <col min="7192" max="7193" width="6.42578125" customWidth="1"/>
    <col min="7194" max="7194" width="24.5703125" customWidth="1"/>
    <col min="7195" max="7195" width="34.7109375" customWidth="1"/>
    <col min="7196" max="7196" width="16.42578125" customWidth="1"/>
    <col min="7197" max="7197" width="16" bestFit="1" customWidth="1"/>
    <col min="7198" max="7198" width="29.140625" customWidth="1"/>
    <col min="7199" max="7199" width="15.7109375" customWidth="1"/>
    <col min="7200" max="7201" width="6.42578125" customWidth="1"/>
    <col min="7202" max="7202" width="24.5703125" customWidth="1"/>
    <col min="7203" max="7203" width="34.7109375" customWidth="1"/>
    <col min="7204" max="7204" width="16.42578125" customWidth="1"/>
    <col min="7205" max="7205" width="16" bestFit="1" customWidth="1"/>
    <col min="7206" max="7206" width="29.140625" customWidth="1"/>
    <col min="7207" max="7207" width="15.7109375" customWidth="1"/>
    <col min="7208" max="7209" width="6.42578125" customWidth="1"/>
    <col min="7210" max="7210" width="24.5703125" customWidth="1"/>
    <col min="7211" max="7211" width="34.7109375" customWidth="1"/>
    <col min="7212" max="7212" width="16.42578125" customWidth="1"/>
    <col min="7213" max="7213" width="16" bestFit="1" customWidth="1"/>
    <col min="7214" max="7214" width="29.140625" customWidth="1"/>
    <col min="7215" max="7215" width="15.7109375" customWidth="1"/>
    <col min="7216" max="7217" width="6.42578125" customWidth="1"/>
    <col min="7218" max="7218" width="24.5703125" customWidth="1"/>
    <col min="7219" max="7219" width="34.7109375" customWidth="1"/>
    <col min="7220" max="7220" width="16.42578125" customWidth="1"/>
    <col min="7221" max="7221" width="16" bestFit="1" customWidth="1"/>
    <col min="7222" max="7222" width="29.140625" customWidth="1"/>
    <col min="7223" max="7223" width="15.7109375" customWidth="1"/>
    <col min="7224" max="7225" width="6.42578125" customWidth="1"/>
    <col min="7226" max="7226" width="24.5703125" customWidth="1"/>
    <col min="7227" max="7227" width="34.7109375" customWidth="1"/>
    <col min="7228" max="7228" width="16.42578125" customWidth="1"/>
    <col min="7229" max="7229" width="16" bestFit="1" customWidth="1"/>
    <col min="7230" max="7230" width="29.140625" customWidth="1"/>
    <col min="7231" max="7231" width="15.7109375" customWidth="1"/>
    <col min="7232" max="7233" width="6.42578125" customWidth="1"/>
    <col min="7234" max="7234" width="24.5703125" customWidth="1"/>
    <col min="7235" max="7235" width="34.7109375" customWidth="1"/>
    <col min="7236" max="7236" width="16.42578125" customWidth="1"/>
    <col min="7237" max="7237" width="16" bestFit="1" customWidth="1"/>
    <col min="7238" max="7238" width="29.140625" customWidth="1"/>
    <col min="7239" max="7239" width="15.7109375" customWidth="1"/>
    <col min="7240" max="7241" width="6.42578125" customWidth="1"/>
    <col min="7242" max="7242" width="24.5703125" customWidth="1"/>
    <col min="7243" max="7243" width="34.7109375" customWidth="1"/>
    <col min="7244" max="7244" width="16.42578125" customWidth="1"/>
    <col min="7245" max="7245" width="16" bestFit="1" customWidth="1"/>
    <col min="7246" max="7246" width="29.140625" customWidth="1"/>
    <col min="7247" max="7247" width="15.7109375" customWidth="1"/>
    <col min="7248" max="7249" width="6.42578125" customWidth="1"/>
    <col min="7250" max="7250" width="24.5703125" customWidth="1"/>
    <col min="7251" max="7251" width="34.7109375" customWidth="1"/>
    <col min="7252" max="7252" width="16.42578125" customWidth="1"/>
    <col min="7253" max="7253" width="16" bestFit="1" customWidth="1"/>
    <col min="7254" max="7254" width="29.140625" customWidth="1"/>
    <col min="7255" max="7255" width="15.7109375" customWidth="1"/>
    <col min="7256" max="7257" width="6.42578125" customWidth="1"/>
    <col min="7258" max="7258" width="24.5703125" customWidth="1"/>
    <col min="7259" max="7259" width="34.7109375" customWidth="1"/>
    <col min="7260" max="7260" width="16.42578125" customWidth="1"/>
    <col min="7261" max="7261" width="16" bestFit="1" customWidth="1"/>
    <col min="7262" max="7262" width="29.140625" customWidth="1"/>
    <col min="7263" max="7263" width="15.7109375" customWidth="1"/>
    <col min="7264" max="7265" width="6.42578125" customWidth="1"/>
    <col min="7266" max="7266" width="24.5703125" customWidth="1"/>
    <col min="7267" max="7267" width="34.7109375" customWidth="1"/>
    <col min="7268" max="7268" width="16.42578125" customWidth="1"/>
    <col min="7269" max="7269" width="16" bestFit="1" customWidth="1"/>
    <col min="7270" max="7270" width="29.140625" customWidth="1"/>
    <col min="7271" max="7271" width="15.7109375" customWidth="1"/>
    <col min="7272" max="7273" width="6.42578125" customWidth="1"/>
    <col min="7274" max="7274" width="24.5703125" customWidth="1"/>
    <col min="7275" max="7275" width="34.7109375" customWidth="1"/>
    <col min="7276" max="7276" width="16.42578125" customWidth="1"/>
    <col min="7277" max="7277" width="16" bestFit="1" customWidth="1"/>
    <col min="7278" max="7278" width="29.140625" customWidth="1"/>
    <col min="7279" max="7279" width="15.7109375" customWidth="1"/>
    <col min="7280" max="7281" width="6.42578125" customWidth="1"/>
    <col min="7282" max="7282" width="24.5703125" customWidth="1"/>
    <col min="7283" max="7283" width="34.7109375" customWidth="1"/>
    <col min="7284" max="7284" width="16.42578125" customWidth="1"/>
    <col min="7285" max="7285" width="16" bestFit="1" customWidth="1"/>
    <col min="7286" max="7286" width="29.140625" customWidth="1"/>
    <col min="7287" max="7287" width="15.7109375" customWidth="1"/>
    <col min="7288" max="7289" width="6.42578125" customWidth="1"/>
    <col min="7290" max="7290" width="24.5703125" customWidth="1"/>
    <col min="7291" max="7291" width="34.7109375" customWidth="1"/>
    <col min="7292" max="7292" width="16.42578125" customWidth="1"/>
    <col min="7293" max="7293" width="16" bestFit="1" customWidth="1"/>
    <col min="7294" max="7294" width="29.140625" customWidth="1"/>
    <col min="7295" max="7295" width="15.7109375" customWidth="1"/>
    <col min="7296" max="7297" width="6.42578125" customWidth="1"/>
    <col min="7298" max="7298" width="24.5703125" customWidth="1"/>
    <col min="7299" max="7299" width="34.7109375" customWidth="1"/>
    <col min="7300" max="7300" width="16.42578125" customWidth="1"/>
    <col min="7301" max="7301" width="16" bestFit="1" customWidth="1"/>
    <col min="7302" max="7302" width="29.140625" customWidth="1"/>
    <col min="7303" max="7303" width="15.7109375" customWidth="1"/>
    <col min="7304" max="7305" width="6.42578125" customWidth="1"/>
    <col min="7306" max="7306" width="24.5703125" customWidth="1"/>
    <col min="7307" max="7307" width="34.7109375" customWidth="1"/>
    <col min="7308" max="7308" width="16.42578125" customWidth="1"/>
    <col min="7309" max="7309" width="16" bestFit="1" customWidth="1"/>
    <col min="7310" max="7310" width="29.140625" customWidth="1"/>
    <col min="7311" max="7311" width="15.7109375" customWidth="1"/>
    <col min="7312" max="7313" width="6.42578125" customWidth="1"/>
    <col min="7314" max="7314" width="24.5703125" customWidth="1"/>
    <col min="7315" max="7315" width="34.7109375" customWidth="1"/>
    <col min="7316" max="7316" width="16.42578125" customWidth="1"/>
    <col min="7317" max="7317" width="16" bestFit="1" customWidth="1"/>
    <col min="7318" max="7318" width="29.140625" customWidth="1"/>
    <col min="7319" max="7319" width="15.7109375" customWidth="1"/>
    <col min="7320" max="7321" width="6.42578125" customWidth="1"/>
    <col min="7322" max="7322" width="24.5703125" customWidth="1"/>
    <col min="7323" max="7323" width="34.7109375" customWidth="1"/>
    <col min="7324" max="7324" width="16.42578125" customWidth="1"/>
    <col min="7325" max="7325" width="16" bestFit="1" customWidth="1"/>
    <col min="7326" max="7326" width="29.140625" customWidth="1"/>
    <col min="7327" max="7327" width="15.7109375" customWidth="1"/>
    <col min="7328" max="7329" width="6.42578125" customWidth="1"/>
    <col min="7330" max="7330" width="24.5703125" customWidth="1"/>
    <col min="7331" max="7331" width="34.7109375" customWidth="1"/>
    <col min="7332" max="7332" width="16.42578125" customWidth="1"/>
    <col min="7333" max="7333" width="16" bestFit="1" customWidth="1"/>
    <col min="7334" max="7334" width="29.140625" customWidth="1"/>
    <col min="7335" max="7335" width="15.7109375" customWidth="1"/>
    <col min="7336" max="7337" width="6.42578125" customWidth="1"/>
    <col min="7338" max="7338" width="24.5703125" customWidth="1"/>
    <col min="7339" max="7339" width="34.7109375" customWidth="1"/>
    <col min="7340" max="7340" width="16.42578125" customWidth="1"/>
    <col min="7341" max="7341" width="16" bestFit="1" customWidth="1"/>
    <col min="7342" max="7342" width="29.140625" customWidth="1"/>
    <col min="7343" max="7343" width="15.7109375" customWidth="1"/>
    <col min="7344" max="7345" width="6.42578125" customWidth="1"/>
    <col min="7346" max="7346" width="24.5703125" customWidth="1"/>
    <col min="7347" max="7347" width="34.7109375" customWidth="1"/>
    <col min="7348" max="7348" width="16.42578125" customWidth="1"/>
    <col min="7349" max="7349" width="16" bestFit="1" customWidth="1"/>
    <col min="7350" max="7350" width="29.140625" customWidth="1"/>
    <col min="7351" max="7351" width="15.7109375" customWidth="1"/>
    <col min="7352" max="7353" width="6.42578125" customWidth="1"/>
    <col min="7354" max="7354" width="24.5703125" customWidth="1"/>
    <col min="7355" max="7355" width="34.7109375" customWidth="1"/>
    <col min="7356" max="7356" width="16.42578125" customWidth="1"/>
    <col min="7357" max="7357" width="16" bestFit="1" customWidth="1"/>
    <col min="7358" max="7358" width="29.140625" customWidth="1"/>
    <col min="7359" max="7359" width="15.7109375" customWidth="1"/>
    <col min="7360" max="7361" width="6.42578125" customWidth="1"/>
    <col min="7362" max="7362" width="24.5703125" customWidth="1"/>
    <col min="7363" max="7363" width="34.7109375" customWidth="1"/>
    <col min="7364" max="7364" width="16.42578125" customWidth="1"/>
    <col min="7365" max="7365" width="16" bestFit="1" customWidth="1"/>
    <col min="7366" max="7366" width="29.140625" customWidth="1"/>
    <col min="7367" max="7367" width="15.7109375" customWidth="1"/>
    <col min="7368" max="7369" width="6.42578125" customWidth="1"/>
    <col min="7370" max="7370" width="24.5703125" customWidth="1"/>
    <col min="7371" max="7371" width="34.7109375" customWidth="1"/>
    <col min="7372" max="7372" width="16.42578125" customWidth="1"/>
    <col min="7373" max="7373" width="16" bestFit="1" customWidth="1"/>
    <col min="7374" max="7374" width="29.140625" customWidth="1"/>
    <col min="7375" max="7375" width="15.7109375" customWidth="1"/>
    <col min="7376" max="7377" width="6.42578125" customWidth="1"/>
    <col min="7378" max="7378" width="24.5703125" customWidth="1"/>
    <col min="7379" max="7379" width="34.7109375" customWidth="1"/>
    <col min="7380" max="7380" width="16.42578125" customWidth="1"/>
    <col min="7381" max="7381" width="16" bestFit="1" customWidth="1"/>
    <col min="7382" max="7382" width="29.140625" customWidth="1"/>
    <col min="7383" max="7383" width="15.7109375" customWidth="1"/>
    <col min="7384" max="7385" width="6.42578125" customWidth="1"/>
    <col min="7386" max="7386" width="24.5703125" customWidth="1"/>
    <col min="7387" max="7387" width="34.7109375" customWidth="1"/>
    <col min="7388" max="7388" width="16.42578125" customWidth="1"/>
    <col min="7389" max="7389" width="16" bestFit="1" customWidth="1"/>
    <col min="7390" max="7390" width="29.140625" customWidth="1"/>
    <col min="7391" max="7391" width="15.7109375" customWidth="1"/>
    <col min="7392" max="7393" width="6.42578125" customWidth="1"/>
    <col min="7394" max="7394" width="24.5703125" customWidth="1"/>
    <col min="7395" max="7395" width="34.7109375" customWidth="1"/>
    <col min="7396" max="7396" width="16.42578125" customWidth="1"/>
    <col min="7397" max="7397" width="16" bestFit="1" customWidth="1"/>
    <col min="7398" max="7398" width="29.140625" customWidth="1"/>
    <col min="7399" max="7399" width="15.7109375" customWidth="1"/>
    <col min="7400" max="7401" width="6.42578125" customWidth="1"/>
    <col min="7402" max="7402" width="24.5703125" customWidth="1"/>
    <col min="7403" max="7403" width="34.7109375" customWidth="1"/>
    <col min="7404" max="7404" width="16.42578125" customWidth="1"/>
    <col min="7405" max="7405" width="16" bestFit="1" customWidth="1"/>
    <col min="7406" max="7406" width="29.140625" customWidth="1"/>
    <col min="7407" max="7407" width="15.7109375" customWidth="1"/>
    <col min="7408" max="7409" width="6.42578125" customWidth="1"/>
    <col min="7410" max="7410" width="24.5703125" customWidth="1"/>
    <col min="7411" max="7411" width="34.7109375" customWidth="1"/>
    <col min="7412" max="7412" width="16.42578125" customWidth="1"/>
    <col min="7413" max="7413" width="16" bestFit="1" customWidth="1"/>
    <col min="7414" max="7414" width="29.140625" customWidth="1"/>
    <col min="7415" max="7415" width="15.7109375" customWidth="1"/>
    <col min="7416" max="7417" width="6.42578125" customWidth="1"/>
    <col min="7418" max="7418" width="24.5703125" customWidth="1"/>
    <col min="7419" max="7419" width="34.7109375" customWidth="1"/>
    <col min="7420" max="7420" width="16.42578125" customWidth="1"/>
    <col min="7421" max="7421" width="16" bestFit="1" customWidth="1"/>
    <col min="7422" max="7422" width="29.140625" customWidth="1"/>
    <col min="7423" max="7423" width="15.7109375" customWidth="1"/>
    <col min="7424" max="7425" width="6.42578125" customWidth="1"/>
    <col min="7426" max="7426" width="24.5703125" customWidth="1"/>
    <col min="7427" max="7427" width="34.7109375" customWidth="1"/>
    <col min="7428" max="7428" width="16.42578125" customWidth="1"/>
    <col min="7429" max="7429" width="16" bestFit="1" customWidth="1"/>
    <col min="7430" max="7430" width="29.140625" customWidth="1"/>
    <col min="7431" max="7431" width="15.7109375" customWidth="1"/>
    <col min="7432" max="7433" width="6.42578125" customWidth="1"/>
    <col min="7434" max="7434" width="24.5703125" customWidth="1"/>
    <col min="7435" max="7435" width="34.7109375" customWidth="1"/>
    <col min="7436" max="7436" width="16.42578125" customWidth="1"/>
    <col min="7437" max="7437" width="16" bestFit="1" customWidth="1"/>
    <col min="7438" max="7438" width="29.140625" customWidth="1"/>
    <col min="7439" max="7439" width="15.7109375" customWidth="1"/>
    <col min="7440" max="7441" width="6.42578125" customWidth="1"/>
    <col min="7442" max="7442" width="24.5703125" customWidth="1"/>
    <col min="7443" max="7443" width="34.7109375" customWidth="1"/>
    <col min="7444" max="7444" width="16.42578125" customWidth="1"/>
    <col min="7445" max="7445" width="16" bestFit="1" customWidth="1"/>
    <col min="7446" max="7446" width="29.140625" customWidth="1"/>
    <col min="7447" max="7447" width="15.7109375" customWidth="1"/>
    <col min="7448" max="7449" width="6.42578125" customWidth="1"/>
    <col min="7450" max="7450" width="24.5703125" customWidth="1"/>
    <col min="7451" max="7451" width="34.7109375" customWidth="1"/>
    <col min="7452" max="7452" width="16.42578125" customWidth="1"/>
    <col min="7453" max="7453" width="16" bestFit="1" customWidth="1"/>
    <col min="7454" max="7454" width="29.140625" customWidth="1"/>
    <col min="7455" max="7455" width="15.7109375" customWidth="1"/>
    <col min="7456" max="7457" width="6.42578125" customWidth="1"/>
    <col min="7458" max="7458" width="24.5703125" customWidth="1"/>
    <col min="7459" max="7459" width="34.7109375" customWidth="1"/>
    <col min="7460" max="7460" width="16.42578125" customWidth="1"/>
    <col min="7461" max="7461" width="16" bestFit="1" customWidth="1"/>
    <col min="7462" max="7462" width="29.140625" customWidth="1"/>
    <col min="7463" max="7463" width="15.7109375" customWidth="1"/>
    <col min="7464" max="7465" width="6.42578125" customWidth="1"/>
    <col min="7466" max="7466" width="24.5703125" customWidth="1"/>
    <col min="7467" max="7467" width="34.7109375" customWidth="1"/>
    <col min="7468" max="7468" width="16.42578125" customWidth="1"/>
    <col min="7469" max="7469" width="16" bestFit="1" customWidth="1"/>
    <col min="7470" max="7470" width="29.140625" customWidth="1"/>
    <col min="7471" max="7471" width="15.7109375" customWidth="1"/>
    <col min="7472" max="7473" width="6.42578125" customWidth="1"/>
    <col min="7474" max="7474" width="24.5703125" customWidth="1"/>
    <col min="7475" max="7475" width="34.7109375" customWidth="1"/>
    <col min="7476" max="7476" width="16.42578125" customWidth="1"/>
    <col min="7477" max="7477" width="16" bestFit="1" customWidth="1"/>
    <col min="7478" max="7478" width="29.140625" customWidth="1"/>
    <col min="7479" max="7479" width="15.7109375" customWidth="1"/>
    <col min="7480" max="7481" width="6.42578125" customWidth="1"/>
    <col min="7482" max="7482" width="24.5703125" customWidth="1"/>
    <col min="7483" max="7483" width="34.7109375" customWidth="1"/>
    <col min="7484" max="7484" width="16.42578125" customWidth="1"/>
    <col min="7485" max="7485" width="16" bestFit="1" customWidth="1"/>
    <col min="7486" max="7486" width="29.140625" customWidth="1"/>
    <col min="7487" max="7487" width="15.7109375" customWidth="1"/>
    <col min="7488" max="7489" width="6.42578125" customWidth="1"/>
    <col min="7490" max="7490" width="24.5703125" customWidth="1"/>
    <col min="7491" max="7491" width="34.7109375" customWidth="1"/>
    <col min="7492" max="7492" width="16.42578125" customWidth="1"/>
    <col min="7493" max="7493" width="16" bestFit="1" customWidth="1"/>
    <col min="7494" max="7494" width="29.140625" customWidth="1"/>
    <col min="7495" max="7495" width="15.7109375" customWidth="1"/>
    <col min="7496" max="7497" width="6.42578125" customWidth="1"/>
    <col min="7498" max="7498" width="24.5703125" customWidth="1"/>
    <col min="7499" max="7499" width="34.7109375" customWidth="1"/>
    <col min="7500" max="7500" width="16.42578125" customWidth="1"/>
    <col min="7501" max="7501" width="16" bestFit="1" customWidth="1"/>
    <col min="7502" max="7502" width="29.140625" customWidth="1"/>
    <col min="7503" max="7503" width="15.7109375" customWidth="1"/>
    <col min="7504" max="7505" width="6.42578125" customWidth="1"/>
    <col min="7506" max="7506" width="24.5703125" customWidth="1"/>
    <col min="7507" max="7507" width="34.7109375" customWidth="1"/>
    <col min="7508" max="7508" width="16.42578125" customWidth="1"/>
    <col min="7509" max="7509" width="16" bestFit="1" customWidth="1"/>
    <col min="7510" max="7510" width="29.140625" customWidth="1"/>
    <col min="7511" max="7511" width="15.7109375" customWidth="1"/>
    <col min="7512" max="7513" width="6.42578125" customWidth="1"/>
    <col min="7514" max="7514" width="24.5703125" customWidth="1"/>
    <col min="7515" max="7515" width="34.7109375" customWidth="1"/>
    <col min="7516" max="7516" width="16.42578125" customWidth="1"/>
    <col min="7517" max="7517" width="16" bestFit="1" customWidth="1"/>
    <col min="7518" max="7518" width="29.140625" customWidth="1"/>
    <col min="7519" max="7519" width="15.7109375" customWidth="1"/>
    <col min="7520" max="7521" width="6.42578125" customWidth="1"/>
    <col min="7522" max="7522" width="24.5703125" customWidth="1"/>
    <col min="7523" max="7523" width="34.7109375" customWidth="1"/>
    <col min="7524" max="7524" width="16.42578125" customWidth="1"/>
    <col min="7525" max="7525" width="16" bestFit="1" customWidth="1"/>
    <col min="7526" max="7526" width="29.140625" customWidth="1"/>
    <col min="7527" max="7527" width="15.7109375" customWidth="1"/>
    <col min="7528" max="7529" width="6.42578125" customWidth="1"/>
    <col min="7530" max="7530" width="24.5703125" customWidth="1"/>
    <col min="7531" max="7531" width="34.7109375" customWidth="1"/>
    <col min="7532" max="7532" width="16.42578125" customWidth="1"/>
    <col min="7533" max="7533" width="16" bestFit="1" customWidth="1"/>
    <col min="7534" max="7534" width="29.140625" customWidth="1"/>
    <col min="7535" max="7535" width="15.7109375" customWidth="1"/>
    <col min="7536" max="7537" width="6.42578125" customWidth="1"/>
    <col min="7538" max="7538" width="24.5703125" customWidth="1"/>
    <col min="7539" max="7539" width="34.7109375" customWidth="1"/>
    <col min="7540" max="7540" width="16.42578125" customWidth="1"/>
    <col min="7541" max="7541" width="16" bestFit="1" customWidth="1"/>
    <col min="7542" max="7542" width="29.140625" customWidth="1"/>
    <col min="7543" max="7543" width="15.7109375" customWidth="1"/>
    <col min="7544" max="7545" width="6.42578125" customWidth="1"/>
    <col min="7546" max="7546" width="24.5703125" customWidth="1"/>
    <col min="7547" max="7547" width="34.7109375" customWidth="1"/>
    <col min="7548" max="7548" width="16.42578125" customWidth="1"/>
    <col min="7549" max="7549" width="16" bestFit="1" customWidth="1"/>
    <col min="7550" max="7550" width="29.140625" customWidth="1"/>
    <col min="7551" max="7551" width="15.7109375" customWidth="1"/>
    <col min="7552" max="7553" width="6.42578125" customWidth="1"/>
    <col min="7554" max="7554" width="24.5703125" customWidth="1"/>
    <col min="7555" max="7555" width="34.7109375" customWidth="1"/>
    <col min="7556" max="7556" width="16.42578125" customWidth="1"/>
    <col min="7557" max="7557" width="16" bestFit="1" customWidth="1"/>
    <col min="7558" max="7558" width="29.140625" customWidth="1"/>
    <col min="7559" max="7559" width="15.7109375" customWidth="1"/>
    <col min="7560" max="7561" width="6.42578125" customWidth="1"/>
    <col min="7562" max="7562" width="24.5703125" customWidth="1"/>
    <col min="7563" max="7563" width="34.7109375" customWidth="1"/>
    <col min="7564" max="7564" width="16.42578125" customWidth="1"/>
    <col min="7565" max="7565" width="16" bestFit="1" customWidth="1"/>
    <col min="7566" max="7566" width="29.140625" customWidth="1"/>
    <col min="7567" max="7567" width="15.7109375" customWidth="1"/>
    <col min="7568" max="7569" width="6.42578125" customWidth="1"/>
    <col min="7570" max="7570" width="24.5703125" customWidth="1"/>
    <col min="7571" max="7571" width="34.7109375" customWidth="1"/>
    <col min="7572" max="7572" width="16.42578125" customWidth="1"/>
    <col min="7573" max="7573" width="16" bestFit="1" customWidth="1"/>
    <col min="7574" max="7574" width="29.140625" customWidth="1"/>
    <col min="7575" max="7575" width="15.7109375" customWidth="1"/>
    <col min="7576" max="7577" width="6.42578125" customWidth="1"/>
    <col min="7578" max="7578" width="24.5703125" customWidth="1"/>
    <col min="7579" max="7579" width="34.7109375" customWidth="1"/>
    <col min="7580" max="7580" width="16.42578125" customWidth="1"/>
    <col min="7581" max="7581" width="16" bestFit="1" customWidth="1"/>
    <col min="7582" max="7582" width="29.140625" customWidth="1"/>
    <col min="7583" max="7583" width="15.7109375" customWidth="1"/>
    <col min="7584" max="7585" width="6.42578125" customWidth="1"/>
    <col min="7586" max="7586" width="24.5703125" customWidth="1"/>
    <col min="7587" max="7587" width="34.7109375" customWidth="1"/>
    <col min="7588" max="7588" width="16.42578125" customWidth="1"/>
    <col min="7589" max="7589" width="16" bestFit="1" customWidth="1"/>
    <col min="7590" max="7590" width="29.140625" customWidth="1"/>
    <col min="7591" max="7591" width="15.7109375" customWidth="1"/>
    <col min="7592" max="7593" width="6.42578125" customWidth="1"/>
    <col min="7594" max="7594" width="24.5703125" customWidth="1"/>
    <col min="7595" max="7595" width="34.7109375" customWidth="1"/>
    <col min="7596" max="7596" width="16.42578125" customWidth="1"/>
    <col min="7597" max="7597" width="16" bestFit="1" customWidth="1"/>
    <col min="7598" max="7598" width="29.140625" customWidth="1"/>
    <col min="7599" max="7599" width="15.7109375" customWidth="1"/>
    <col min="7600" max="7601" width="6.42578125" customWidth="1"/>
    <col min="7602" max="7602" width="24.5703125" customWidth="1"/>
    <col min="7603" max="7603" width="34.7109375" customWidth="1"/>
    <col min="7604" max="7604" width="16.42578125" customWidth="1"/>
    <col min="7605" max="7605" width="16" bestFit="1" customWidth="1"/>
    <col min="7606" max="7606" width="29.140625" customWidth="1"/>
    <col min="7607" max="7607" width="15.7109375" customWidth="1"/>
    <col min="7608" max="7609" width="6.42578125" customWidth="1"/>
    <col min="7610" max="7610" width="24.5703125" customWidth="1"/>
    <col min="7611" max="7611" width="34.7109375" customWidth="1"/>
    <col min="7612" max="7612" width="16.42578125" customWidth="1"/>
    <col min="7613" max="7613" width="16" bestFit="1" customWidth="1"/>
    <col min="7614" max="7614" width="29.140625" customWidth="1"/>
    <col min="7615" max="7615" width="15.7109375" customWidth="1"/>
    <col min="7616" max="7617" width="6.42578125" customWidth="1"/>
    <col min="7618" max="7618" width="24.5703125" customWidth="1"/>
    <col min="7619" max="7619" width="34.7109375" customWidth="1"/>
    <col min="7620" max="7620" width="16.42578125" customWidth="1"/>
    <col min="7621" max="7621" width="16" bestFit="1" customWidth="1"/>
    <col min="7622" max="7622" width="29.140625" customWidth="1"/>
    <col min="7623" max="7623" width="15.7109375" customWidth="1"/>
    <col min="7624" max="7625" width="6.42578125" customWidth="1"/>
    <col min="7626" max="7626" width="24.5703125" customWidth="1"/>
    <col min="7627" max="7627" width="34.7109375" customWidth="1"/>
    <col min="7628" max="7628" width="16.42578125" customWidth="1"/>
    <col min="7629" max="7629" width="16" bestFit="1" customWidth="1"/>
    <col min="7630" max="7630" width="29.140625" customWidth="1"/>
    <col min="7631" max="7631" width="15.7109375" customWidth="1"/>
    <col min="7632" max="7633" width="6.42578125" customWidth="1"/>
    <col min="7634" max="7634" width="24.5703125" customWidth="1"/>
    <col min="7635" max="7635" width="34.7109375" customWidth="1"/>
    <col min="7636" max="7636" width="16.42578125" customWidth="1"/>
    <col min="7637" max="7637" width="16" bestFit="1" customWidth="1"/>
    <col min="7638" max="7638" width="29.140625" customWidth="1"/>
    <col min="7639" max="7639" width="15.7109375" customWidth="1"/>
    <col min="7640" max="7641" width="6.42578125" customWidth="1"/>
    <col min="7642" max="7642" width="24.5703125" customWidth="1"/>
    <col min="7643" max="7643" width="34.7109375" customWidth="1"/>
    <col min="7644" max="7644" width="16.42578125" customWidth="1"/>
    <col min="7645" max="7645" width="16" bestFit="1" customWidth="1"/>
    <col min="7646" max="7646" width="29.140625" customWidth="1"/>
    <col min="7647" max="7647" width="15.7109375" customWidth="1"/>
    <col min="7648" max="7649" width="6.42578125" customWidth="1"/>
    <col min="7650" max="7650" width="24.5703125" customWidth="1"/>
    <col min="7651" max="7651" width="34.7109375" customWidth="1"/>
    <col min="7652" max="7652" width="16.42578125" customWidth="1"/>
    <col min="7653" max="7653" width="16" bestFit="1" customWidth="1"/>
    <col min="7654" max="7654" width="29.140625" customWidth="1"/>
    <col min="7655" max="7655" width="15.7109375" customWidth="1"/>
    <col min="7656" max="7657" width="6.42578125" customWidth="1"/>
    <col min="7658" max="7658" width="24.5703125" customWidth="1"/>
    <col min="7659" max="7659" width="34.7109375" customWidth="1"/>
    <col min="7660" max="7660" width="16.42578125" customWidth="1"/>
    <col min="7661" max="7661" width="16" bestFit="1" customWidth="1"/>
    <col min="7662" max="7662" width="29.140625" customWidth="1"/>
    <col min="7663" max="7663" width="15.7109375" customWidth="1"/>
    <col min="7664" max="7665" width="6.42578125" customWidth="1"/>
    <col min="7666" max="7666" width="24.5703125" customWidth="1"/>
    <col min="7667" max="7667" width="34.7109375" customWidth="1"/>
    <col min="7668" max="7668" width="16.42578125" customWidth="1"/>
    <col min="7669" max="7669" width="16" bestFit="1" customWidth="1"/>
    <col min="7670" max="7670" width="29.140625" customWidth="1"/>
    <col min="7671" max="7671" width="15.7109375" customWidth="1"/>
    <col min="7672" max="7673" width="6.42578125" customWidth="1"/>
    <col min="7674" max="7674" width="24.5703125" customWidth="1"/>
    <col min="7675" max="7675" width="34.7109375" customWidth="1"/>
    <col min="7676" max="7676" width="16.42578125" customWidth="1"/>
    <col min="7677" max="7677" width="16" bestFit="1" customWidth="1"/>
    <col min="7678" max="7678" width="29.140625" customWidth="1"/>
    <col min="7679" max="7679" width="15.7109375" customWidth="1"/>
    <col min="7680" max="7681" width="6.42578125" customWidth="1"/>
    <col min="7682" max="7682" width="24.5703125" customWidth="1"/>
    <col min="7683" max="7683" width="34.7109375" customWidth="1"/>
    <col min="7684" max="7684" width="16.42578125" customWidth="1"/>
    <col min="7685" max="7685" width="16" bestFit="1" customWidth="1"/>
    <col min="7686" max="7686" width="29.140625" customWidth="1"/>
    <col min="7687" max="7687" width="15.7109375" customWidth="1"/>
    <col min="7688" max="7689" width="6.42578125" customWidth="1"/>
    <col min="7690" max="7690" width="24.5703125" customWidth="1"/>
    <col min="7691" max="7691" width="34.7109375" customWidth="1"/>
    <col min="7692" max="7692" width="16.42578125" customWidth="1"/>
    <col min="7693" max="7693" width="16" bestFit="1" customWidth="1"/>
    <col min="7694" max="7694" width="29.140625" customWidth="1"/>
    <col min="7695" max="7695" width="15.7109375" customWidth="1"/>
    <col min="7696" max="7697" width="6.42578125" customWidth="1"/>
    <col min="7698" max="7698" width="24.5703125" customWidth="1"/>
    <col min="7699" max="7699" width="34.7109375" customWidth="1"/>
    <col min="7700" max="7700" width="16.42578125" customWidth="1"/>
    <col min="7701" max="7701" width="16" bestFit="1" customWidth="1"/>
    <col min="7702" max="7702" width="29.140625" customWidth="1"/>
    <col min="7703" max="7703" width="15.7109375" customWidth="1"/>
    <col min="7704" max="7705" width="6.42578125" customWidth="1"/>
    <col min="7706" max="7706" width="24.5703125" customWidth="1"/>
    <col min="7707" max="7707" width="34.7109375" customWidth="1"/>
    <col min="7708" max="7708" width="16.42578125" customWidth="1"/>
    <col min="7709" max="7709" width="16" bestFit="1" customWidth="1"/>
    <col min="7710" max="7710" width="29.140625" customWidth="1"/>
    <col min="7711" max="7711" width="15.7109375" customWidth="1"/>
    <col min="7712" max="7713" width="6.42578125" customWidth="1"/>
    <col min="7714" max="7714" width="24.5703125" customWidth="1"/>
    <col min="7715" max="7715" width="34.7109375" customWidth="1"/>
    <col min="7716" max="7716" width="16.42578125" customWidth="1"/>
    <col min="7717" max="7717" width="16" bestFit="1" customWidth="1"/>
    <col min="7718" max="7718" width="29.140625" customWidth="1"/>
    <col min="7719" max="7719" width="15.7109375" customWidth="1"/>
    <col min="7720" max="7721" width="6.42578125" customWidth="1"/>
    <col min="7722" max="7722" width="24.5703125" customWidth="1"/>
    <col min="7723" max="7723" width="34.7109375" customWidth="1"/>
    <col min="7724" max="7724" width="16.42578125" customWidth="1"/>
    <col min="7725" max="7725" width="16" bestFit="1" customWidth="1"/>
    <col min="7726" max="7726" width="29.140625" customWidth="1"/>
    <col min="7727" max="7727" width="15.7109375" customWidth="1"/>
    <col min="7728" max="7729" width="6.42578125" customWidth="1"/>
    <col min="7730" max="7730" width="24.5703125" customWidth="1"/>
    <col min="7731" max="7731" width="34.7109375" customWidth="1"/>
    <col min="7732" max="7732" width="16.42578125" customWidth="1"/>
    <col min="7733" max="7733" width="16" bestFit="1" customWidth="1"/>
    <col min="7734" max="7734" width="29.140625" customWidth="1"/>
    <col min="7735" max="7735" width="15.7109375" customWidth="1"/>
    <col min="7736" max="7737" width="6.42578125" customWidth="1"/>
    <col min="7738" max="7738" width="24.5703125" customWidth="1"/>
    <col min="7739" max="7739" width="34.7109375" customWidth="1"/>
    <col min="7740" max="7740" width="16.42578125" customWidth="1"/>
    <col min="7741" max="7741" width="16" bestFit="1" customWidth="1"/>
    <col min="7742" max="7742" width="29.140625" customWidth="1"/>
    <col min="7743" max="7743" width="15.7109375" customWidth="1"/>
    <col min="7744" max="7745" width="6.42578125" customWidth="1"/>
    <col min="7746" max="7746" width="24.5703125" customWidth="1"/>
    <col min="7747" max="7747" width="34.7109375" customWidth="1"/>
    <col min="7748" max="7748" width="16.42578125" customWidth="1"/>
    <col min="7749" max="7749" width="16" bestFit="1" customWidth="1"/>
    <col min="7750" max="7750" width="29.140625" customWidth="1"/>
    <col min="7751" max="7751" width="15.7109375" customWidth="1"/>
    <col min="7752" max="7753" width="6.42578125" customWidth="1"/>
    <col min="7754" max="7754" width="24.5703125" customWidth="1"/>
    <col min="7755" max="7755" width="34.7109375" customWidth="1"/>
    <col min="7756" max="7756" width="16.42578125" customWidth="1"/>
    <col min="7757" max="7757" width="16" bestFit="1" customWidth="1"/>
    <col min="7758" max="7758" width="29.140625" customWidth="1"/>
    <col min="7759" max="7759" width="15.7109375" customWidth="1"/>
    <col min="7760" max="7761" width="6.42578125" customWidth="1"/>
    <col min="7762" max="7762" width="24.5703125" customWidth="1"/>
    <col min="7763" max="7763" width="34.7109375" customWidth="1"/>
    <col min="7764" max="7764" width="16.42578125" customWidth="1"/>
    <col min="7765" max="7765" width="16" bestFit="1" customWidth="1"/>
    <col min="7766" max="7766" width="29.140625" customWidth="1"/>
    <col min="7767" max="7767" width="15.7109375" customWidth="1"/>
    <col min="7768" max="7769" width="6.42578125" customWidth="1"/>
    <col min="7770" max="7770" width="24.5703125" customWidth="1"/>
    <col min="7771" max="7771" width="34.7109375" customWidth="1"/>
    <col min="7772" max="7772" width="16.42578125" customWidth="1"/>
    <col min="7773" max="7773" width="16" bestFit="1" customWidth="1"/>
    <col min="7774" max="7774" width="29.140625" customWidth="1"/>
    <col min="7775" max="7775" width="15.7109375" customWidth="1"/>
    <col min="7776" max="7777" width="6.42578125" customWidth="1"/>
    <col min="7778" max="7778" width="24.5703125" customWidth="1"/>
    <col min="7779" max="7779" width="34.7109375" customWidth="1"/>
    <col min="7780" max="7780" width="16.42578125" customWidth="1"/>
    <col min="7781" max="7781" width="16" bestFit="1" customWidth="1"/>
    <col min="7782" max="7782" width="29.140625" customWidth="1"/>
    <col min="7783" max="7783" width="15.7109375" customWidth="1"/>
    <col min="7784" max="7785" width="6.42578125" customWidth="1"/>
    <col min="7786" max="7786" width="24.5703125" customWidth="1"/>
    <col min="7787" max="7787" width="34.7109375" customWidth="1"/>
    <col min="7788" max="7788" width="16.42578125" customWidth="1"/>
    <col min="7789" max="7789" width="16" bestFit="1" customWidth="1"/>
    <col min="7790" max="7790" width="29.140625" customWidth="1"/>
    <col min="7791" max="7791" width="15.7109375" customWidth="1"/>
    <col min="7792" max="7793" width="6.42578125" customWidth="1"/>
    <col min="7794" max="7794" width="24.5703125" customWidth="1"/>
    <col min="7795" max="7795" width="34.7109375" customWidth="1"/>
    <col min="7796" max="7796" width="16.42578125" customWidth="1"/>
    <col min="7797" max="7797" width="16" bestFit="1" customWidth="1"/>
    <col min="7798" max="7798" width="29.140625" customWidth="1"/>
    <col min="7799" max="7799" width="15.7109375" customWidth="1"/>
    <col min="7800" max="7801" width="6.42578125" customWidth="1"/>
    <col min="7802" max="7802" width="24.5703125" customWidth="1"/>
    <col min="7803" max="7803" width="34.7109375" customWidth="1"/>
    <col min="7804" max="7804" width="16.42578125" customWidth="1"/>
    <col min="7805" max="7805" width="16" bestFit="1" customWidth="1"/>
    <col min="7806" max="7806" width="29.140625" customWidth="1"/>
    <col min="7807" max="7807" width="15.7109375" customWidth="1"/>
    <col min="7808" max="7809" width="6.42578125" customWidth="1"/>
    <col min="7810" max="7810" width="24.5703125" customWidth="1"/>
    <col min="7811" max="7811" width="34.7109375" customWidth="1"/>
    <col min="7812" max="7812" width="16.42578125" customWidth="1"/>
    <col min="7813" max="7813" width="16" bestFit="1" customWidth="1"/>
    <col min="7814" max="7814" width="29.140625" customWidth="1"/>
    <col min="7815" max="7815" width="15.7109375" customWidth="1"/>
    <col min="7816" max="7817" width="6.42578125" customWidth="1"/>
    <col min="7818" max="7818" width="24.5703125" customWidth="1"/>
    <col min="7819" max="7819" width="34.7109375" customWidth="1"/>
    <col min="7820" max="7820" width="16.42578125" customWidth="1"/>
    <col min="7821" max="7821" width="16" bestFit="1" customWidth="1"/>
    <col min="7822" max="7822" width="29.140625" customWidth="1"/>
    <col min="7823" max="7823" width="15.7109375" customWidth="1"/>
    <col min="7824" max="7825" width="6.42578125" customWidth="1"/>
    <col min="7826" max="7826" width="24.5703125" customWidth="1"/>
    <col min="7827" max="7827" width="34.7109375" customWidth="1"/>
    <col min="7828" max="7828" width="16.42578125" customWidth="1"/>
    <col min="7829" max="7829" width="16" bestFit="1" customWidth="1"/>
    <col min="7830" max="7830" width="29.140625" customWidth="1"/>
    <col min="7831" max="7831" width="15.7109375" customWidth="1"/>
    <col min="7832" max="7833" width="6.42578125" customWidth="1"/>
    <col min="7834" max="7834" width="24.5703125" customWidth="1"/>
    <col min="7835" max="7835" width="34.7109375" customWidth="1"/>
    <col min="7836" max="7836" width="16.42578125" customWidth="1"/>
    <col min="7837" max="7837" width="16" bestFit="1" customWidth="1"/>
    <col min="7838" max="7838" width="29.140625" customWidth="1"/>
    <col min="7839" max="7839" width="15.7109375" customWidth="1"/>
    <col min="7840" max="7841" width="6.42578125" customWidth="1"/>
    <col min="7842" max="7842" width="24.5703125" customWidth="1"/>
    <col min="7843" max="7843" width="34.7109375" customWidth="1"/>
    <col min="7844" max="7844" width="16.42578125" customWidth="1"/>
    <col min="7845" max="7845" width="16" bestFit="1" customWidth="1"/>
    <col min="7846" max="7846" width="29.140625" customWidth="1"/>
    <col min="7847" max="7847" width="15.7109375" customWidth="1"/>
    <col min="7848" max="7849" width="6.42578125" customWidth="1"/>
    <col min="7850" max="7850" width="24.5703125" customWidth="1"/>
    <col min="7851" max="7851" width="34.7109375" customWidth="1"/>
    <col min="7852" max="7852" width="16.42578125" customWidth="1"/>
    <col min="7853" max="7853" width="16" bestFit="1" customWidth="1"/>
    <col min="7854" max="7854" width="29.140625" customWidth="1"/>
    <col min="7855" max="7855" width="15.7109375" customWidth="1"/>
    <col min="7856" max="7857" width="6.42578125" customWidth="1"/>
    <col min="7858" max="7858" width="24.5703125" customWidth="1"/>
    <col min="7859" max="7859" width="34.7109375" customWidth="1"/>
    <col min="7860" max="7860" width="16.42578125" customWidth="1"/>
    <col min="7861" max="7861" width="16" bestFit="1" customWidth="1"/>
    <col min="7862" max="7862" width="29.140625" customWidth="1"/>
    <col min="7863" max="7863" width="15.7109375" customWidth="1"/>
    <col min="7864" max="7865" width="6.42578125" customWidth="1"/>
    <col min="7866" max="7866" width="24.5703125" customWidth="1"/>
    <col min="7867" max="7867" width="34.7109375" customWidth="1"/>
    <col min="7868" max="7868" width="16.42578125" customWidth="1"/>
    <col min="7869" max="7869" width="16" bestFit="1" customWidth="1"/>
    <col min="7870" max="7870" width="29.140625" customWidth="1"/>
    <col min="7871" max="7871" width="15.7109375" customWidth="1"/>
    <col min="7872" max="7873" width="6.42578125" customWidth="1"/>
    <col min="7874" max="7874" width="24.5703125" customWidth="1"/>
    <col min="7875" max="7875" width="34.7109375" customWidth="1"/>
    <col min="7876" max="7876" width="16.42578125" customWidth="1"/>
    <col min="7877" max="7877" width="16" bestFit="1" customWidth="1"/>
    <col min="7878" max="7878" width="29.140625" customWidth="1"/>
    <col min="7879" max="7879" width="15.7109375" customWidth="1"/>
    <col min="7880" max="7881" width="6.42578125" customWidth="1"/>
    <col min="7882" max="7882" width="24.5703125" customWidth="1"/>
    <col min="7883" max="7883" width="34.7109375" customWidth="1"/>
    <col min="7884" max="7884" width="16.42578125" customWidth="1"/>
    <col min="7885" max="7885" width="16" bestFit="1" customWidth="1"/>
    <col min="7886" max="7886" width="29.140625" customWidth="1"/>
    <col min="7887" max="7887" width="15.7109375" customWidth="1"/>
    <col min="7888" max="7889" width="6.42578125" customWidth="1"/>
    <col min="7890" max="7890" width="24.5703125" customWidth="1"/>
    <col min="7891" max="7891" width="34.7109375" customWidth="1"/>
    <col min="7892" max="7892" width="16.42578125" customWidth="1"/>
    <col min="7893" max="7893" width="16" bestFit="1" customWidth="1"/>
    <col min="7894" max="7894" width="29.140625" customWidth="1"/>
    <col min="7895" max="7895" width="15.7109375" customWidth="1"/>
    <col min="7896" max="7897" width="6.42578125" customWidth="1"/>
    <col min="7898" max="7898" width="24.5703125" customWidth="1"/>
    <col min="7899" max="7899" width="34.7109375" customWidth="1"/>
    <col min="7900" max="7900" width="16.42578125" customWidth="1"/>
    <col min="7901" max="7901" width="16" bestFit="1" customWidth="1"/>
    <col min="7902" max="7902" width="29.140625" customWidth="1"/>
    <col min="7903" max="7903" width="15.7109375" customWidth="1"/>
    <col min="7904" max="7905" width="6.42578125" customWidth="1"/>
    <col min="7906" max="7906" width="24.5703125" customWidth="1"/>
    <col min="7907" max="7907" width="34.7109375" customWidth="1"/>
    <col min="7908" max="7908" width="16.42578125" customWidth="1"/>
    <col min="7909" max="7909" width="16" bestFit="1" customWidth="1"/>
    <col min="7910" max="7910" width="29.140625" customWidth="1"/>
    <col min="7911" max="7911" width="15.7109375" customWidth="1"/>
    <col min="7912" max="7913" width="6.42578125" customWidth="1"/>
    <col min="7914" max="7914" width="24.5703125" customWidth="1"/>
    <col min="7915" max="7915" width="34.7109375" customWidth="1"/>
    <col min="7916" max="7916" width="16.42578125" customWidth="1"/>
    <col min="7917" max="7917" width="16" bestFit="1" customWidth="1"/>
    <col min="7918" max="7918" width="29.140625" customWidth="1"/>
    <col min="7919" max="7919" width="15.7109375" customWidth="1"/>
    <col min="7920" max="7921" width="6.42578125" customWidth="1"/>
    <col min="7922" max="7922" width="24.5703125" customWidth="1"/>
    <col min="7923" max="7923" width="34.7109375" customWidth="1"/>
    <col min="7924" max="7924" width="16.42578125" customWidth="1"/>
    <col min="7925" max="7925" width="16" bestFit="1" customWidth="1"/>
    <col min="7926" max="7926" width="29.140625" customWidth="1"/>
    <col min="7927" max="7927" width="15.7109375" customWidth="1"/>
    <col min="7928" max="7929" width="6.42578125" customWidth="1"/>
    <col min="7930" max="7930" width="24.5703125" customWidth="1"/>
    <col min="7931" max="7931" width="34.7109375" customWidth="1"/>
    <col min="7932" max="7932" width="16.42578125" customWidth="1"/>
    <col min="7933" max="7933" width="16" bestFit="1" customWidth="1"/>
    <col min="7934" max="7934" width="29.140625" customWidth="1"/>
    <col min="7935" max="7935" width="15.7109375" customWidth="1"/>
    <col min="7936" max="7937" width="6.42578125" customWidth="1"/>
    <col min="7938" max="7938" width="24.5703125" customWidth="1"/>
    <col min="7939" max="7939" width="34.7109375" customWidth="1"/>
    <col min="7940" max="7940" width="16.42578125" customWidth="1"/>
    <col min="7941" max="7941" width="16" bestFit="1" customWidth="1"/>
    <col min="7942" max="7942" width="29.140625" customWidth="1"/>
    <col min="7943" max="7943" width="15.7109375" customWidth="1"/>
    <col min="7944" max="7945" width="6.42578125" customWidth="1"/>
    <col min="7946" max="7946" width="24.5703125" customWidth="1"/>
    <col min="7947" max="7947" width="34.7109375" customWidth="1"/>
    <col min="7948" max="7948" width="16.42578125" customWidth="1"/>
    <col min="7949" max="7949" width="16" bestFit="1" customWidth="1"/>
    <col min="7950" max="7950" width="29.140625" customWidth="1"/>
    <col min="7951" max="7951" width="15.7109375" customWidth="1"/>
    <col min="7952" max="7953" width="6.42578125" customWidth="1"/>
    <col min="7954" max="7954" width="24.5703125" customWidth="1"/>
    <col min="7955" max="7955" width="34.7109375" customWidth="1"/>
    <col min="7956" max="7956" width="16.42578125" customWidth="1"/>
    <col min="7957" max="7957" width="16" bestFit="1" customWidth="1"/>
    <col min="7958" max="7958" width="29.140625" customWidth="1"/>
    <col min="7959" max="7959" width="15.7109375" customWidth="1"/>
    <col min="7960" max="7961" width="6.42578125" customWidth="1"/>
    <col min="7962" max="7962" width="24.5703125" customWidth="1"/>
    <col min="7963" max="7963" width="34.7109375" customWidth="1"/>
    <col min="7964" max="7964" width="16.42578125" customWidth="1"/>
    <col min="7965" max="7965" width="16" bestFit="1" customWidth="1"/>
    <col min="7966" max="7966" width="29.140625" customWidth="1"/>
    <col min="7967" max="7967" width="15.7109375" customWidth="1"/>
    <col min="7968" max="7969" width="6.42578125" customWidth="1"/>
    <col min="7970" max="7970" width="24.5703125" customWidth="1"/>
    <col min="7971" max="7971" width="34.7109375" customWidth="1"/>
    <col min="7972" max="7972" width="16.42578125" customWidth="1"/>
    <col min="7973" max="7973" width="16" bestFit="1" customWidth="1"/>
    <col min="7974" max="7974" width="29.140625" customWidth="1"/>
    <col min="7975" max="7975" width="15.7109375" customWidth="1"/>
    <col min="7976" max="7977" width="6.42578125" customWidth="1"/>
    <col min="7978" max="7978" width="24.5703125" customWidth="1"/>
    <col min="7979" max="7979" width="34.7109375" customWidth="1"/>
    <col min="7980" max="7980" width="16.42578125" customWidth="1"/>
    <col min="7981" max="7981" width="16" bestFit="1" customWidth="1"/>
    <col min="7982" max="7982" width="29.140625" customWidth="1"/>
    <col min="7983" max="7983" width="15.7109375" customWidth="1"/>
    <col min="7984" max="7985" width="6.42578125" customWidth="1"/>
    <col min="7986" max="7986" width="24.5703125" customWidth="1"/>
    <col min="7987" max="7987" width="34.7109375" customWidth="1"/>
    <col min="7988" max="7988" width="16.42578125" customWidth="1"/>
    <col min="7989" max="7989" width="16" bestFit="1" customWidth="1"/>
    <col min="7990" max="7990" width="29.140625" customWidth="1"/>
    <col min="7991" max="7991" width="15.7109375" customWidth="1"/>
    <col min="7992" max="7993" width="6.42578125" customWidth="1"/>
    <col min="7994" max="7994" width="24.5703125" customWidth="1"/>
    <col min="7995" max="7995" width="34.7109375" customWidth="1"/>
    <col min="7996" max="7996" width="16.42578125" customWidth="1"/>
    <col min="7997" max="7997" width="16" bestFit="1" customWidth="1"/>
    <col min="7998" max="7998" width="29.140625" customWidth="1"/>
    <col min="7999" max="7999" width="15.7109375" customWidth="1"/>
    <col min="8000" max="8001" width="6.42578125" customWidth="1"/>
    <col min="8002" max="8002" width="24.5703125" customWidth="1"/>
    <col min="8003" max="8003" width="34.7109375" customWidth="1"/>
    <col min="8004" max="8004" width="16.42578125" customWidth="1"/>
    <col min="8005" max="8005" width="16" bestFit="1" customWidth="1"/>
    <col min="8006" max="8006" width="29.140625" customWidth="1"/>
    <col min="8007" max="8007" width="15.7109375" customWidth="1"/>
    <col min="8008" max="8009" width="6.42578125" customWidth="1"/>
    <col min="8010" max="8010" width="24.5703125" customWidth="1"/>
    <col min="8011" max="8011" width="34.7109375" customWidth="1"/>
    <col min="8012" max="8012" width="16.42578125" customWidth="1"/>
    <col min="8013" max="8013" width="16" bestFit="1" customWidth="1"/>
    <col min="8014" max="8014" width="29.140625" customWidth="1"/>
    <col min="8015" max="8015" width="15.7109375" customWidth="1"/>
    <col min="8016" max="8017" width="6.42578125" customWidth="1"/>
    <col min="8018" max="8018" width="24.5703125" customWidth="1"/>
    <col min="8019" max="8019" width="34.7109375" customWidth="1"/>
    <col min="8020" max="8020" width="16.42578125" customWidth="1"/>
    <col min="8021" max="8021" width="16" bestFit="1" customWidth="1"/>
    <col min="8022" max="8022" width="29.140625" customWidth="1"/>
    <col min="8023" max="8023" width="15.7109375" customWidth="1"/>
    <col min="8024" max="8025" width="6.42578125" customWidth="1"/>
    <col min="8026" max="8026" width="24.5703125" customWidth="1"/>
    <col min="8027" max="8027" width="34.7109375" customWidth="1"/>
    <col min="8028" max="8028" width="16.42578125" customWidth="1"/>
    <col min="8029" max="8029" width="16" bestFit="1" customWidth="1"/>
    <col min="8030" max="8030" width="29.140625" customWidth="1"/>
    <col min="8031" max="8031" width="15.7109375" customWidth="1"/>
    <col min="8032" max="8033" width="6.42578125" customWidth="1"/>
    <col min="8034" max="8034" width="24.5703125" customWidth="1"/>
    <col min="8035" max="8035" width="34.7109375" customWidth="1"/>
    <col min="8036" max="8036" width="16.42578125" customWidth="1"/>
    <col min="8037" max="8037" width="16" bestFit="1" customWidth="1"/>
    <col min="8038" max="8038" width="29.140625" customWidth="1"/>
    <col min="8039" max="8039" width="15.7109375" customWidth="1"/>
    <col min="8040" max="8041" width="6.42578125" customWidth="1"/>
    <col min="8042" max="8042" width="24.5703125" customWidth="1"/>
    <col min="8043" max="8043" width="34.7109375" customWidth="1"/>
    <col min="8044" max="8044" width="16.42578125" customWidth="1"/>
    <col min="8045" max="8045" width="16" bestFit="1" customWidth="1"/>
    <col min="8046" max="8046" width="29.140625" customWidth="1"/>
    <col min="8047" max="8047" width="15.7109375" customWidth="1"/>
    <col min="8048" max="8049" width="6.42578125" customWidth="1"/>
    <col min="8050" max="8050" width="24.5703125" customWidth="1"/>
    <col min="8051" max="8051" width="34.7109375" customWidth="1"/>
    <col min="8052" max="8052" width="16.42578125" customWidth="1"/>
    <col min="8053" max="8053" width="16" bestFit="1" customWidth="1"/>
    <col min="8054" max="8054" width="29.140625" customWidth="1"/>
    <col min="8055" max="8055" width="15.7109375" customWidth="1"/>
    <col min="8056" max="8057" width="6.42578125" customWidth="1"/>
    <col min="8058" max="8058" width="24.5703125" customWidth="1"/>
    <col min="8059" max="8059" width="34.7109375" customWidth="1"/>
    <col min="8060" max="8060" width="16.42578125" customWidth="1"/>
    <col min="8061" max="8061" width="16" bestFit="1" customWidth="1"/>
    <col min="8062" max="8062" width="29.140625" customWidth="1"/>
    <col min="8063" max="8063" width="15.7109375" customWidth="1"/>
    <col min="8064" max="8065" width="6.42578125" customWidth="1"/>
    <col min="8066" max="8066" width="24.5703125" customWidth="1"/>
    <col min="8067" max="8067" width="34.7109375" customWidth="1"/>
    <col min="8068" max="8068" width="16.42578125" customWidth="1"/>
    <col min="8069" max="8069" width="16" bestFit="1" customWidth="1"/>
    <col min="8070" max="8070" width="29.140625" customWidth="1"/>
    <col min="8071" max="8071" width="15.7109375" customWidth="1"/>
    <col min="8072" max="8073" width="6.42578125" customWidth="1"/>
    <col min="8074" max="8074" width="24.5703125" customWidth="1"/>
    <col min="8075" max="8075" width="34.7109375" customWidth="1"/>
    <col min="8076" max="8076" width="16.42578125" customWidth="1"/>
    <col min="8077" max="8077" width="16" bestFit="1" customWidth="1"/>
    <col min="8078" max="8078" width="29.140625" customWidth="1"/>
    <col min="8079" max="8079" width="15.7109375" customWidth="1"/>
    <col min="8080" max="8081" width="6.42578125" customWidth="1"/>
    <col min="8082" max="8082" width="24.5703125" customWidth="1"/>
    <col min="8083" max="8083" width="34.7109375" customWidth="1"/>
    <col min="8084" max="8084" width="16.42578125" customWidth="1"/>
    <col min="8085" max="8085" width="16" bestFit="1" customWidth="1"/>
    <col min="8086" max="8086" width="29.140625" customWidth="1"/>
    <col min="8087" max="8087" width="15.7109375" customWidth="1"/>
    <col min="8088" max="8089" width="6.42578125" customWidth="1"/>
    <col min="8090" max="8090" width="24.5703125" customWidth="1"/>
    <col min="8091" max="8091" width="34.7109375" customWidth="1"/>
    <col min="8092" max="8092" width="16.42578125" customWidth="1"/>
    <col min="8093" max="8093" width="16" bestFit="1" customWidth="1"/>
    <col min="8094" max="8094" width="29.140625" customWidth="1"/>
    <col min="8095" max="8095" width="15.7109375" customWidth="1"/>
    <col min="8096" max="8097" width="6.42578125" customWidth="1"/>
    <col min="8098" max="8098" width="24.5703125" customWidth="1"/>
    <col min="8099" max="8099" width="34.7109375" customWidth="1"/>
    <col min="8100" max="8100" width="16.42578125" customWidth="1"/>
    <col min="8101" max="8101" width="16" bestFit="1" customWidth="1"/>
    <col min="8102" max="8102" width="29.140625" customWidth="1"/>
    <col min="8103" max="8103" width="15.7109375" customWidth="1"/>
    <col min="8104" max="8105" width="6.42578125" customWidth="1"/>
    <col min="8106" max="8106" width="24.5703125" customWidth="1"/>
    <col min="8107" max="8107" width="34.7109375" customWidth="1"/>
    <col min="8108" max="8108" width="16.42578125" customWidth="1"/>
    <col min="8109" max="8109" width="16" bestFit="1" customWidth="1"/>
    <col min="8110" max="8110" width="29.140625" customWidth="1"/>
    <col min="8111" max="8111" width="15.7109375" customWidth="1"/>
    <col min="8112" max="8113" width="6.42578125" customWidth="1"/>
    <col min="8114" max="8114" width="24.5703125" customWidth="1"/>
    <col min="8115" max="8115" width="34.7109375" customWidth="1"/>
    <col min="8116" max="8116" width="16.42578125" customWidth="1"/>
    <col min="8117" max="8117" width="16" bestFit="1" customWidth="1"/>
    <col min="8118" max="8118" width="29.140625" customWidth="1"/>
    <col min="8119" max="8119" width="15.7109375" customWidth="1"/>
    <col min="8120" max="8121" width="6.42578125" customWidth="1"/>
    <col min="8122" max="8122" width="24.5703125" customWidth="1"/>
    <col min="8123" max="8123" width="34.7109375" customWidth="1"/>
    <col min="8124" max="8124" width="16.42578125" customWidth="1"/>
    <col min="8125" max="8125" width="16" bestFit="1" customWidth="1"/>
    <col min="8126" max="8126" width="29.140625" customWidth="1"/>
    <col min="8127" max="8127" width="15.7109375" customWidth="1"/>
    <col min="8128" max="8129" width="6.42578125" customWidth="1"/>
    <col min="8130" max="8130" width="24.5703125" customWidth="1"/>
    <col min="8131" max="8131" width="34.7109375" customWidth="1"/>
    <col min="8132" max="8132" width="16.42578125" customWidth="1"/>
    <col min="8133" max="8133" width="16" bestFit="1" customWidth="1"/>
    <col min="8134" max="8134" width="29.140625" customWidth="1"/>
    <col min="8135" max="8135" width="15.7109375" customWidth="1"/>
    <col min="8136" max="8137" width="6.42578125" customWidth="1"/>
    <col min="8138" max="8138" width="24.5703125" customWidth="1"/>
    <col min="8139" max="8139" width="34.7109375" customWidth="1"/>
    <col min="8140" max="8140" width="16.42578125" customWidth="1"/>
    <col min="8141" max="8141" width="16" bestFit="1" customWidth="1"/>
    <col min="8142" max="8142" width="29.140625" customWidth="1"/>
    <col min="8143" max="8143" width="15.7109375" customWidth="1"/>
    <col min="8144" max="8145" width="6.42578125" customWidth="1"/>
    <col min="8146" max="8146" width="24.5703125" customWidth="1"/>
    <col min="8147" max="8147" width="34.7109375" customWidth="1"/>
    <col min="8148" max="8148" width="16.42578125" customWidth="1"/>
    <col min="8149" max="8149" width="16" bestFit="1" customWidth="1"/>
    <col min="8150" max="8150" width="29.140625" customWidth="1"/>
    <col min="8151" max="8151" width="15.7109375" customWidth="1"/>
    <col min="8152" max="8153" width="6.42578125" customWidth="1"/>
    <col min="8154" max="8154" width="24.5703125" customWidth="1"/>
    <col min="8155" max="8155" width="34.7109375" customWidth="1"/>
    <col min="8156" max="8156" width="16.42578125" customWidth="1"/>
    <col min="8157" max="8157" width="16" bestFit="1" customWidth="1"/>
    <col min="8158" max="8158" width="29.140625" customWidth="1"/>
    <col min="8159" max="8159" width="15.7109375" customWidth="1"/>
    <col min="8160" max="8161" width="6.42578125" customWidth="1"/>
    <col min="8162" max="8162" width="24.5703125" customWidth="1"/>
    <col min="8163" max="8163" width="34.7109375" customWidth="1"/>
    <col min="8164" max="8164" width="16.42578125" customWidth="1"/>
    <col min="8165" max="8165" width="16" bestFit="1" customWidth="1"/>
    <col min="8166" max="8166" width="29.140625" customWidth="1"/>
    <col min="8167" max="8167" width="15.7109375" customWidth="1"/>
    <col min="8168" max="8169" width="6.42578125" customWidth="1"/>
    <col min="8170" max="8170" width="24.5703125" customWidth="1"/>
    <col min="8171" max="8171" width="34.7109375" customWidth="1"/>
    <col min="8172" max="8172" width="16.42578125" customWidth="1"/>
    <col min="8173" max="8173" width="16" bestFit="1" customWidth="1"/>
    <col min="8174" max="8174" width="29.140625" customWidth="1"/>
    <col min="8175" max="8175" width="15.7109375" customWidth="1"/>
    <col min="8176" max="8177" width="6.42578125" customWidth="1"/>
    <col min="8178" max="8178" width="24.5703125" customWidth="1"/>
    <col min="8179" max="8179" width="34.7109375" customWidth="1"/>
    <col min="8180" max="8180" width="16.42578125" customWidth="1"/>
    <col min="8181" max="8181" width="16" bestFit="1" customWidth="1"/>
    <col min="8182" max="8182" width="29.140625" customWidth="1"/>
    <col min="8183" max="8183" width="15.7109375" customWidth="1"/>
    <col min="8184" max="8185" width="6.42578125" customWidth="1"/>
    <col min="8186" max="8186" width="24.5703125" customWidth="1"/>
    <col min="8187" max="8187" width="34.7109375" customWidth="1"/>
    <col min="8188" max="8188" width="16.42578125" customWidth="1"/>
    <col min="8189" max="8189" width="16" bestFit="1" customWidth="1"/>
    <col min="8190" max="8190" width="29.140625" customWidth="1"/>
    <col min="8191" max="8191" width="15.7109375" customWidth="1"/>
    <col min="8192" max="8193" width="6.42578125" customWidth="1"/>
    <col min="8194" max="8194" width="24.5703125" customWidth="1"/>
    <col min="8195" max="8195" width="34.7109375" customWidth="1"/>
    <col min="8196" max="8196" width="16.42578125" customWidth="1"/>
    <col min="8197" max="8197" width="16" bestFit="1" customWidth="1"/>
    <col min="8198" max="8198" width="29.140625" customWidth="1"/>
    <col min="8199" max="8199" width="15.7109375" customWidth="1"/>
    <col min="8200" max="8201" width="6.42578125" customWidth="1"/>
    <col min="8202" max="8202" width="24.5703125" customWidth="1"/>
    <col min="8203" max="8203" width="34.7109375" customWidth="1"/>
    <col min="8204" max="8204" width="16.42578125" customWidth="1"/>
    <col min="8205" max="8205" width="16" bestFit="1" customWidth="1"/>
    <col min="8206" max="8206" width="29.140625" customWidth="1"/>
    <col min="8207" max="8207" width="15.7109375" customWidth="1"/>
    <col min="8208" max="8209" width="6.42578125" customWidth="1"/>
    <col min="8210" max="8210" width="24.5703125" customWidth="1"/>
    <col min="8211" max="8211" width="34.7109375" customWidth="1"/>
    <col min="8212" max="8212" width="16.42578125" customWidth="1"/>
    <col min="8213" max="8213" width="16" bestFit="1" customWidth="1"/>
    <col min="8214" max="8214" width="29.140625" customWidth="1"/>
    <col min="8215" max="8215" width="15.7109375" customWidth="1"/>
    <col min="8216" max="8217" width="6.42578125" customWidth="1"/>
    <col min="8218" max="8218" width="24.5703125" customWidth="1"/>
    <col min="8219" max="8219" width="34.7109375" customWidth="1"/>
    <col min="8220" max="8220" width="16.42578125" customWidth="1"/>
    <col min="8221" max="8221" width="16" bestFit="1" customWidth="1"/>
    <col min="8222" max="8222" width="29.140625" customWidth="1"/>
    <col min="8223" max="8223" width="15.7109375" customWidth="1"/>
    <col min="8224" max="8225" width="6.42578125" customWidth="1"/>
    <col min="8226" max="8226" width="24.5703125" customWidth="1"/>
    <col min="8227" max="8227" width="34.7109375" customWidth="1"/>
    <col min="8228" max="8228" width="16.42578125" customWidth="1"/>
    <col min="8229" max="8229" width="16" bestFit="1" customWidth="1"/>
    <col min="8230" max="8230" width="29.140625" customWidth="1"/>
    <col min="8231" max="8231" width="15.7109375" customWidth="1"/>
    <col min="8232" max="8233" width="6.42578125" customWidth="1"/>
    <col min="8234" max="8234" width="24.5703125" customWidth="1"/>
    <col min="8235" max="8235" width="34.7109375" customWidth="1"/>
    <col min="8236" max="8236" width="16.42578125" customWidth="1"/>
    <col min="8237" max="8237" width="16" bestFit="1" customWidth="1"/>
    <col min="8238" max="8238" width="29.140625" customWidth="1"/>
    <col min="8239" max="8239" width="15.7109375" customWidth="1"/>
    <col min="8240" max="8241" width="6.42578125" customWidth="1"/>
    <col min="8242" max="8242" width="24.5703125" customWidth="1"/>
    <col min="8243" max="8243" width="34.7109375" customWidth="1"/>
    <col min="8244" max="8244" width="16.42578125" customWidth="1"/>
    <col min="8245" max="8245" width="16" bestFit="1" customWidth="1"/>
    <col min="8246" max="8246" width="29.140625" customWidth="1"/>
    <col min="8247" max="8247" width="15.7109375" customWidth="1"/>
    <col min="8248" max="8249" width="6.42578125" customWidth="1"/>
    <col min="8250" max="8250" width="24.5703125" customWidth="1"/>
    <col min="8251" max="8251" width="34.7109375" customWidth="1"/>
    <col min="8252" max="8252" width="16.42578125" customWidth="1"/>
    <col min="8253" max="8253" width="16" bestFit="1" customWidth="1"/>
    <col min="8254" max="8254" width="29.140625" customWidth="1"/>
    <col min="8255" max="8255" width="15.7109375" customWidth="1"/>
    <col min="8256" max="8257" width="6.42578125" customWidth="1"/>
    <col min="8258" max="8258" width="24.5703125" customWidth="1"/>
    <col min="8259" max="8259" width="34.7109375" customWidth="1"/>
    <col min="8260" max="8260" width="16.42578125" customWidth="1"/>
    <col min="8261" max="8261" width="16" bestFit="1" customWidth="1"/>
    <col min="8262" max="8262" width="29.140625" customWidth="1"/>
    <col min="8263" max="8263" width="15.7109375" customWidth="1"/>
    <col min="8264" max="8265" width="6.42578125" customWidth="1"/>
    <col min="8266" max="8266" width="24.5703125" customWidth="1"/>
    <col min="8267" max="8267" width="34.7109375" customWidth="1"/>
    <col min="8268" max="8268" width="16.42578125" customWidth="1"/>
    <col min="8269" max="8269" width="16" bestFit="1" customWidth="1"/>
    <col min="8270" max="8270" width="29.140625" customWidth="1"/>
    <col min="8271" max="8271" width="15.7109375" customWidth="1"/>
    <col min="8272" max="8273" width="6.42578125" customWidth="1"/>
    <col min="8274" max="8274" width="24.5703125" customWidth="1"/>
    <col min="8275" max="8275" width="34.7109375" customWidth="1"/>
    <col min="8276" max="8276" width="16.42578125" customWidth="1"/>
    <col min="8277" max="8277" width="16" bestFit="1" customWidth="1"/>
    <col min="8278" max="8278" width="29.140625" customWidth="1"/>
    <col min="8279" max="8279" width="15.7109375" customWidth="1"/>
    <col min="8280" max="8281" width="6.42578125" customWidth="1"/>
    <col min="8282" max="8282" width="24.5703125" customWidth="1"/>
    <col min="8283" max="8283" width="34.7109375" customWidth="1"/>
    <col min="8284" max="8284" width="16.42578125" customWidth="1"/>
    <col min="8285" max="8285" width="16" bestFit="1" customWidth="1"/>
    <col min="8286" max="8286" width="29.140625" customWidth="1"/>
    <col min="8287" max="8287" width="15.7109375" customWidth="1"/>
    <col min="8288" max="8289" width="6.42578125" customWidth="1"/>
    <col min="8290" max="8290" width="24.5703125" customWidth="1"/>
    <col min="8291" max="8291" width="34.7109375" customWidth="1"/>
    <col min="8292" max="8292" width="16.42578125" customWidth="1"/>
    <col min="8293" max="8293" width="16" bestFit="1" customWidth="1"/>
    <col min="8294" max="8294" width="29.140625" customWidth="1"/>
    <col min="8295" max="8295" width="15.7109375" customWidth="1"/>
    <col min="8296" max="8297" width="6.42578125" customWidth="1"/>
    <col min="8298" max="8298" width="24.5703125" customWidth="1"/>
    <col min="8299" max="8299" width="34.7109375" customWidth="1"/>
    <col min="8300" max="8300" width="16.42578125" customWidth="1"/>
    <col min="8301" max="8301" width="16" bestFit="1" customWidth="1"/>
    <col min="8302" max="8302" width="29.140625" customWidth="1"/>
    <col min="8303" max="8303" width="15.7109375" customWidth="1"/>
    <col min="8304" max="8305" width="6.42578125" customWidth="1"/>
    <col min="8306" max="8306" width="24.5703125" customWidth="1"/>
    <col min="8307" max="8307" width="34.7109375" customWidth="1"/>
    <col min="8308" max="8308" width="16.42578125" customWidth="1"/>
    <col min="8309" max="8309" width="16" bestFit="1" customWidth="1"/>
    <col min="8310" max="8310" width="29.140625" customWidth="1"/>
    <col min="8311" max="8311" width="15.7109375" customWidth="1"/>
    <col min="8312" max="8313" width="6.42578125" customWidth="1"/>
    <col min="8314" max="8314" width="24.5703125" customWidth="1"/>
    <col min="8315" max="8315" width="34.7109375" customWidth="1"/>
    <col min="8316" max="8316" width="16.42578125" customWidth="1"/>
    <col min="8317" max="8317" width="16" bestFit="1" customWidth="1"/>
    <col min="8318" max="8318" width="29.140625" customWidth="1"/>
    <col min="8319" max="8319" width="15.7109375" customWidth="1"/>
    <col min="8320" max="8321" width="6.42578125" customWidth="1"/>
    <col min="8322" max="8322" width="24.5703125" customWidth="1"/>
    <col min="8323" max="8323" width="34.7109375" customWidth="1"/>
    <col min="8324" max="8324" width="16.42578125" customWidth="1"/>
    <col min="8325" max="8325" width="16" bestFit="1" customWidth="1"/>
    <col min="8326" max="8326" width="29.140625" customWidth="1"/>
    <col min="8327" max="8327" width="15.7109375" customWidth="1"/>
    <col min="8328" max="8329" width="6.42578125" customWidth="1"/>
    <col min="8330" max="8330" width="24.5703125" customWidth="1"/>
    <col min="8331" max="8331" width="34.7109375" customWidth="1"/>
    <col min="8332" max="8332" width="16.42578125" customWidth="1"/>
    <col min="8333" max="8333" width="16" bestFit="1" customWidth="1"/>
    <col min="8334" max="8334" width="29.140625" customWidth="1"/>
    <col min="8335" max="8335" width="15.7109375" customWidth="1"/>
    <col min="8336" max="8337" width="6.42578125" customWidth="1"/>
    <col min="8338" max="8338" width="24.5703125" customWidth="1"/>
    <col min="8339" max="8339" width="34.7109375" customWidth="1"/>
    <col min="8340" max="8340" width="16.42578125" customWidth="1"/>
    <col min="8341" max="8341" width="16" bestFit="1" customWidth="1"/>
    <col min="8342" max="8342" width="29.140625" customWidth="1"/>
    <col min="8343" max="8343" width="15.7109375" customWidth="1"/>
    <col min="8344" max="8345" width="6.42578125" customWidth="1"/>
    <col min="8346" max="8346" width="24.5703125" customWidth="1"/>
    <col min="8347" max="8347" width="34.7109375" customWidth="1"/>
    <col min="8348" max="8348" width="16.42578125" customWidth="1"/>
    <col min="8349" max="8349" width="16" bestFit="1" customWidth="1"/>
    <col min="8350" max="8350" width="29.140625" customWidth="1"/>
    <col min="8351" max="8351" width="15.7109375" customWidth="1"/>
    <col min="8352" max="8353" width="6.42578125" customWidth="1"/>
    <col min="8354" max="8354" width="24.5703125" customWidth="1"/>
    <col min="8355" max="8355" width="34.7109375" customWidth="1"/>
    <col min="8356" max="8356" width="16.42578125" customWidth="1"/>
    <col min="8357" max="8357" width="16" bestFit="1" customWidth="1"/>
    <col min="8358" max="8358" width="29.140625" customWidth="1"/>
    <col min="8359" max="8359" width="15.7109375" customWidth="1"/>
    <col min="8360" max="8361" width="6.42578125" customWidth="1"/>
    <col min="8362" max="8362" width="24.5703125" customWidth="1"/>
    <col min="8363" max="8363" width="34.7109375" customWidth="1"/>
    <col min="8364" max="8364" width="16.42578125" customWidth="1"/>
    <col min="8365" max="8365" width="16" bestFit="1" customWidth="1"/>
    <col min="8366" max="8366" width="29.140625" customWidth="1"/>
    <col min="8367" max="8367" width="15.7109375" customWidth="1"/>
    <col min="8368" max="8369" width="6.42578125" customWidth="1"/>
    <col min="8370" max="8370" width="24.5703125" customWidth="1"/>
    <col min="8371" max="8371" width="34.7109375" customWidth="1"/>
    <col min="8372" max="8372" width="16.42578125" customWidth="1"/>
    <col min="8373" max="8373" width="16" bestFit="1" customWidth="1"/>
    <col min="8374" max="8374" width="29.140625" customWidth="1"/>
    <col min="8375" max="8375" width="15.7109375" customWidth="1"/>
    <col min="8376" max="8377" width="6.42578125" customWidth="1"/>
    <col min="8378" max="8378" width="24.5703125" customWidth="1"/>
    <col min="8379" max="8379" width="34.7109375" customWidth="1"/>
    <col min="8380" max="8380" width="16.42578125" customWidth="1"/>
    <col min="8381" max="8381" width="16" bestFit="1" customWidth="1"/>
    <col min="8382" max="8382" width="29.140625" customWidth="1"/>
    <col min="8383" max="8383" width="15.7109375" customWidth="1"/>
    <col min="8384" max="8385" width="6.42578125" customWidth="1"/>
    <col min="8386" max="8386" width="24.5703125" customWidth="1"/>
    <col min="8387" max="8387" width="34.7109375" customWidth="1"/>
    <col min="8388" max="8388" width="16.42578125" customWidth="1"/>
    <col min="8389" max="8389" width="16" bestFit="1" customWidth="1"/>
    <col min="8390" max="8390" width="29.140625" customWidth="1"/>
    <col min="8391" max="8391" width="15.7109375" customWidth="1"/>
    <col min="8392" max="8393" width="6.42578125" customWidth="1"/>
    <col min="8394" max="8394" width="24.5703125" customWidth="1"/>
    <col min="8395" max="8395" width="34.7109375" customWidth="1"/>
    <col min="8396" max="8396" width="16.42578125" customWidth="1"/>
    <col min="8397" max="8397" width="16" bestFit="1" customWidth="1"/>
    <col min="8398" max="8398" width="29.140625" customWidth="1"/>
    <col min="8399" max="8399" width="15.7109375" customWidth="1"/>
    <col min="8400" max="8401" width="6.42578125" customWidth="1"/>
    <col min="8402" max="8402" width="24.5703125" customWidth="1"/>
    <col min="8403" max="8403" width="34.7109375" customWidth="1"/>
    <col min="8404" max="8404" width="16.42578125" customWidth="1"/>
    <col min="8405" max="8405" width="16" bestFit="1" customWidth="1"/>
    <col min="8406" max="8406" width="29.140625" customWidth="1"/>
    <col min="8407" max="8407" width="15.7109375" customWidth="1"/>
    <col min="8408" max="8409" width="6.42578125" customWidth="1"/>
    <col min="8410" max="8410" width="24.5703125" customWidth="1"/>
    <col min="8411" max="8411" width="34.7109375" customWidth="1"/>
    <col min="8412" max="8412" width="16.42578125" customWidth="1"/>
    <col min="8413" max="8413" width="16" bestFit="1" customWidth="1"/>
    <col min="8414" max="8414" width="29.140625" customWidth="1"/>
    <col min="8415" max="8415" width="15.7109375" customWidth="1"/>
    <col min="8416" max="8417" width="6.42578125" customWidth="1"/>
    <col min="8418" max="8418" width="24.5703125" customWidth="1"/>
    <col min="8419" max="8419" width="34.7109375" customWidth="1"/>
    <col min="8420" max="8420" width="16.42578125" customWidth="1"/>
    <col min="8421" max="8421" width="16" bestFit="1" customWidth="1"/>
    <col min="8422" max="8422" width="29.140625" customWidth="1"/>
    <col min="8423" max="8423" width="15.7109375" customWidth="1"/>
    <col min="8424" max="8425" width="6.42578125" customWidth="1"/>
    <col min="8426" max="8426" width="24.5703125" customWidth="1"/>
    <col min="8427" max="8427" width="34.7109375" customWidth="1"/>
    <col min="8428" max="8428" width="16.42578125" customWidth="1"/>
    <col min="8429" max="8429" width="16" bestFit="1" customWidth="1"/>
    <col min="8430" max="8430" width="29.140625" customWidth="1"/>
    <col min="8431" max="8431" width="15.7109375" customWidth="1"/>
    <col min="8432" max="8433" width="6.42578125" customWidth="1"/>
    <col min="8434" max="8434" width="24.5703125" customWidth="1"/>
    <col min="8435" max="8435" width="34.7109375" customWidth="1"/>
    <col min="8436" max="8436" width="16.42578125" customWidth="1"/>
    <col min="8437" max="8437" width="16" bestFit="1" customWidth="1"/>
    <col min="8438" max="8438" width="29.140625" customWidth="1"/>
    <col min="8439" max="8439" width="15.7109375" customWidth="1"/>
    <col min="8440" max="8441" width="6.42578125" customWidth="1"/>
    <col min="8442" max="8442" width="24.5703125" customWidth="1"/>
    <col min="8443" max="8443" width="34.7109375" customWidth="1"/>
    <col min="8444" max="8444" width="16.42578125" customWidth="1"/>
    <col min="8445" max="8445" width="16" bestFit="1" customWidth="1"/>
    <col min="8446" max="8446" width="29.140625" customWidth="1"/>
    <col min="8447" max="8447" width="15.7109375" customWidth="1"/>
    <col min="8448" max="8449" width="6.42578125" customWidth="1"/>
    <col min="8450" max="8450" width="24.5703125" customWidth="1"/>
    <col min="8451" max="8451" width="34.7109375" customWidth="1"/>
    <col min="8452" max="8452" width="16.42578125" customWidth="1"/>
    <col min="8453" max="8453" width="16" bestFit="1" customWidth="1"/>
    <col min="8454" max="8454" width="29.140625" customWidth="1"/>
    <col min="8455" max="8455" width="15.7109375" customWidth="1"/>
    <col min="8456" max="8457" width="6.42578125" customWidth="1"/>
    <col min="8458" max="8458" width="24.5703125" customWidth="1"/>
    <col min="8459" max="8459" width="34.7109375" customWidth="1"/>
    <col min="8460" max="8460" width="16.42578125" customWidth="1"/>
    <col min="8461" max="8461" width="16" bestFit="1" customWidth="1"/>
    <col min="8462" max="8462" width="29.140625" customWidth="1"/>
    <col min="8463" max="8463" width="15.7109375" customWidth="1"/>
    <col min="8464" max="8465" width="6.42578125" customWidth="1"/>
    <col min="8466" max="8466" width="24.5703125" customWidth="1"/>
    <col min="8467" max="8467" width="34.7109375" customWidth="1"/>
    <col min="8468" max="8468" width="16.42578125" customWidth="1"/>
    <col min="8469" max="8469" width="16" bestFit="1" customWidth="1"/>
    <col min="8470" max="8470" width="29.140625" customWidth="1"/>
    <col min="8471" max="8471" width="15.7109375" customWidth="1"/>
    <col min="8472" max="8473" width="6.42578125" customWidth="1"/>
    <col min="8474" max="8474" width="24.5703125" customWidth="1"/>
    <col min="8475" max="8475" width="34.7109375" customWidth="1"/>
    <col min="8476" max="8476" width="16.42578125" customWidth="1"/>
    <col min="8477" max="8477" width="16" bestFit="1" customWidth="1"/>
    <col min="8478" max="8478" width="29.140625" customWidth="1"/>
    <col min="8479" max="8479" width="15.7109375" customWidth="1"/>
    <col min="8480" max="8481" width="6.42578125" customWidth="1"/>
    <col min="8482" max="8482" width="24.5703125" customWidth="1"/>
    <col min="8483" max="8483" width="34.7109375" customWidth="1"/>
    <col min="8484" max="8484" width="16.42578125" customWidth="1"/>
    <col min="8485" max="8485" width="16" bestFit="1" customWidth="1"/>
    <col min="8486" max="8486" width="29.140625" customWidth="1"/>
    <col min="8487" max="8487" width="15.7109375" customWidth="1"/>
    <col min="8488" max="8489" width="6.42578125" customWidth="1"/>
    <col min="8490" max="8490" width="24.5703125" customWidth="1"/>
    <col min="8491" max="8491" width="34.7109375" customWidth="1"/>
    <col min="8492" max="8492" width="16.42578125" customWidth="1"/>
    <col min="8493" max="8493" width="16" bestFit="1" customWidth="1"/>
    <col min="8494" max="8494" width="29.140625" customWidth="1"/>
    <col min="8495" max="8495" width="15.7109375" customWidth="1"/>
    <col min="8496" max="8497" width="6.42578125" customWidth="1"/>
    <col min="8498" max="8498" width="24.5703125" customWidth="1"/>
    <col min="8499" max="8499" width="34.7109375" customWidth="1"/>
    <col min="8500" max="8500" width="16.42578125" customWidth="1"/>
    <col min="8501" max="8501" width="16" bestFit="1" customWidth="1"/>
    <col min="8502" max="8502" width="29.140625" customWidth="1"/>
    <col min="8503" max="8503" width="15.7109375" customWidth="1"/>
    <col min="8504" max="8505" width="6.42578125" customWidth="1"/>
    <col min="8506" max="8506" width="24.5703125" customWidth="1"/>
    <col min="8507" max="8507" width="34.7109375" customWidth="1"/>
    <col min="8508" max="8508" width="16.42578125" customWidth="1"/>
    <col min="8509" max="8509" width="16" bestFit="1" customWidth="1"/>
    <col min="8510" max="8510" width="29.140625" customWidth="1"/>
    <col min="8511" max="8511" width="15.7109375" customWidth="1"/>
    <col min="8512" max="8513" width="6.42578125" customWidth="1"/>
    <col min="8514" max="8514" width="24.5703125" customWidth="1"/>
    <col min="8515" max="8515" width="34.7109375" customWidth="1"/>
    <col min="8516" max="8516" width="16.42578125" customWidth="1"/>
    <col min="8517" max="8517" width="16" bestFit="1" customWidth="1"/>
    <col min="8518" max="8518" width="29.140625" customWidth="1"/>
    <col min="8519" max="8519" width="15.7109375" customWidth="1"/>
    <col min="8520" max="8521" width="6.42578125" customWidth="1"/>
    <col min="8522" max="8522" width="24.5703125" customWidth="1"/>
    <col min="8523" max="8523" width="34.7109375" customWidth="1"/>
    <col min="8524" max="8524" width="16.42578125" customWidth="1"/>
    <col min="8525" max="8525" width="16" bestFit="1" customWidth="1"/>
    <col min="8526" max="8526" width="29.140625" customWidth="1"/>
    <col min="8527" max="8527" width="15.7109375" customWidth="1"/>
    <col min="8528" max="8529" width="6.42578125" customWidth="1"/>
    <col min="8530" max="8530" width="24.5703125" customWidth="1"/>
    <col min="8531" max="8531" width="34.7109375" customWidth="1"/>
    <col min="8532" max="8532" width="16.42578125" customWidth="1"/>
    <col min="8533" max="8533" width="16" bestFit="1" customWidth="1"/>
    <col min="8534" max="8534" width="29.140625" customWidth="1"/>
    <col min="8535" max="8535" width="15.7109375" customWidth="1"/>
    <col min="8536" max="8537" width="6.42578125" customWidth="1"/>
    <col min="8538" max="8538" width="24.5703125" customWidth="1"/>
    <col min="8539" max="8539" width="34.7109375" customWidth="1"/>
    <col min="8540" max="8540" width="16.42578125" customWidth="1"/>
    <col min="8541" max="8541" width="16" bestFit="1" customWidth="1"/>
    <col min="8542" max="8542" width="29.140625" customWidth="1"/>
    <col min="8543" max="8543" width="15.7109375" customWidth="1"/>
    <col min="8544" max="8545" width="6.42578125" customWidth="1"/>
    <col min="8546" max="8546" width="24.5703125" customWidth="1"/>
    <col min="8547" max="8547" width="34.7109375" customWidth="1"/>
    <col min="8548" max="8548" width="16.42578125" customWidth="1"/>
    <col min="8549" max="8549" width="16" bestFit="1" customWidth="1"/>
    <col min="8550" max="8550" width="29.140625" customWidth="1"/>
    <col min="8551" max="8551" width="15.7109375" customWidth="1"/>
    <col min="8552" max="8553" width="6.42578125" customWidth="1"/>
    <col min="8554" max="8554" width="24.5703125" customWidth="1"/>
    <col min="8555" max="8555" width="34.7109375" customWidth="1"/>
    <col min="8556" max="8556" width="16.42578125" customWidth="1"/>
    <col min="8557" max="8557" width="16" bestFit="1" customWidth="1"/>
    <col min="8558" max="8558" width="29.140625" customWidth="1"/>
    <col min="8559" max="8559" width="15.7109375" customWidth="1"/>
    <col min="8560" max="8561" width="6.42578125" customWidth="1"/>
    <col min="8562" max="8562" width="24.5703125" customWidth="1"/>
    <col min="8563" max="8563" width="34.7109375" customWidth="1"/>
    <col min="8564" max="8564" width="16.42578125" customWidth="1"/>
    <col min="8565" max="8565" width="16" bestFit="1" customWidth="1"/>
    <col min="8566" max="8566" width="29.140625" customWidth="1"/>
    <col min="8567" max="8567" width="15.7109375" customWidth="1"/>
    <col min="8568" max="8569" width="6.42578125" customWidth="1"/>
    <col min="8570" max="8570" width="24.5703125" customWidth="1"/>
    <col min="8571" max="8571" width="34.7109375" customWidth="1"/>
    <col min="8572" max="8572" width="16.42578125" customWidth="1"/>
    <col min="8573" max="8573" width="16" bestFit="1" customWidth="1"/>
    <col min="8574" max="8574" width="29.140625" customWidth="1"/>
    <col min="8575" max="8575" width="15.7109375" customWidth="1"/>
    <col min="8576" max="8577" width="6.42578125" customWidth="1"/>
    <col min="8578" max="8578" width="24.5703125" customWidth="1"/>
    <col min="8579" max="8579" width="34.7109375" customWidth="1"/>
    <col min="8580" max="8580" width="16.42578125" customWidth="1"/>
    <col min="8581" max="8581" width="16" bestFit="1" customWidth="1"/>
    <col min="8582" max="8582" width="29.140625" customWidth="1"/>
    <col min="8583" max="8583" width="15.7109375" customWidth="1"/>
    <col min="8584" max="8585" width="6.42578125" customWidth="1"/>
    <col min="8586" max="8586" width="24.5703125" customWidth="1"/>
    <col min="8587" max="8587" width="34.7109375" customWidth="1"/>
    <col min="8588" max="8588" width="16.42578125" customWidth="1"/>
    <col min="8589" max="8589" width="16" bestFit="1" customWidth="1"/>
    <col min="8590" max="8590" width="29.140625" customWidth="1"/>
    <col min="8591" max="8591" width="15.7109375" customWidth="1"/>
    <col min="8592" max="8593" width="6.42578125" customWidth="1"/>
    <col min="8594" max="8594" width="24.5703125" customWidth="1"/>
    <col min="8595" max="8595" width="34.7109375" customWidth="1"/>
    <col min="8596" max="8596" width="16.42578125" customWidth="1"/>
    <col min="8597" max="8597" width="16" bestFit="1" customWidth="1"/>
    <col min="8598" max="8598" width="29.140625" customWidth="1"/>
    <col min="8599" max="8599" width="15.7109375" customWidth="1"/>
    <col min="8600" max="8601" width="6.42578125" customWidth="1"/>
    <col min="8602" max="8602" width="24.5703125" customWidth="1"/>
    <col min="8603" max="8603" width="34.7109375" customWidth="1"/>
    <col min="8604" max="8604" width="16.42578125" customWidth="1"/>
    <col min="8605" max="8605" width="16" bestFit="1" customWidth="1"/>
    <col min="8606" max="8606" width="29.140625" customWidth="1"/>
    <col min="8607" max="8607" width="15.7109375" customWidth="1"/>
    <col min="8608" max="8609" width="6.42578125" customWidth="1"/>
    <col min="8610" max="8610" width="24.5703125" customWidth="1"/>
    <col min="8611" max="8611" width="34.7109375" customWidth="1"/>
    <col min="8612" max="8612" width="16.42578125" customWidth="1"/>
    <col min="8613" max="8613" width="16" bestFit="1" customWidth="1"/>
    <col min="8614" max="8614" width="29.140625" customWidth="1"/>
    <col min="8615" max="8615" width="15.7109375" customWidth="1"/>
    <col min="8616" max="8617" width="6.42578125" customWidth="1"/>
    <col min="8618" max="8618" width="24.5703125" customWidth="1"/>
    <col min="8619" max="8619" width="34.7109375" customWidth="1"/>
    <col min="8620" max="8620" width="16.42578125" customWidth="1"/>
    <col min="8621" max="8621" width="16" bestFit="1" customWidth="1"/>
    <col min="8622" max="8622" width="29.140625" customWidth="1"/>
    <col min="8623" max="8623" width="15.7109375" customWidth="1"/>
    <col min="8624" max="8625" width="6.42578125" customWidth="1"/>
    <col min="8626" max="8626" width="24.5703125" customWidth="1"/>
    <col min="8627" max="8627" width="34.7109375" customWidth="1"/>
    <col min="8628" max="8628" width="16.42578125" customWidth="1"/>
    <col min="8629" max="8629" width="16" bestFit="1" customWidth="1"/>
    <col min="8630" max="8630" width="29.140625" customWidth="1"/>
    <col min="8631" max="8631" width="15.7109375" customWidth="1"/>
    <col min="8632" max="8633" width="6.42578125" customWidth="1"/>
    <col min="8634" max="8634" width="24.5703125" customWidth="1"/>
    <col min="8635" max="8635" width="34.7109375" customWidth="1"/>
    <col min="8636" max="8636" width="16.42578125" customWidth="1"/>
    <col min="8637" max="8637" width="16" bestFit="1" customWidth="1"/>
    <col min="8638" max="8638" width="29.140625" customWidth="1"/>
    <col min="8639" max="8639" width="15.7109375" customWidth="1"/>
    <col min="8640" max="8641" width="6.42578125" customWidth="1"/>
    <col min="8642" max="8642" width="24.5703125" customWidth="1"/>
    <col min="8643" max="8643" width="34.7109375" customWidth="1"/>
    <col min="8644" max="8644" width="16.42578125" customWidth="1"/>
    <col min="8645" max="8645" width="16" bestFit="1" customWidth="1"/>
    <col min="8646" max="8646" width="29.140625" customWidth="1"/>
    <col min="8647" max="8647" width="15.7109375" customWidth="1"/>
    <col min="8648" max="8649" width="6.42578125" customWidth="1"/>
    <col min="8650" max="8650" width="24.5703125" customWidth="1"/>
    <col min="8651" max="8651" width="34.7109375" customWidth="1"/>
    <col min="8652" max="8652" width="16.42578125" customWidth="1"/>
    <col min="8653" max="8653" width="16" bestFit="1" customWidth="1"/>
    <col min="8654" max="8654" width="29.140625" customWidth="1"/>
    <col min="8655" max="8655" width="15.7109375" customWidth="1"/>
    <col min="8656" max="8657" width="6.42578125" customWidth="1"/>
    <col min="8658" max="8658" width="24.5703125" customWidth="1"/>
    <col min="8659" max="8659" width="34.7109375" customWidth="1"/>
    <col min="8660" max="8660" width="16.42578125" customWidth="1"/>
    <col min="8661" max="8661" width="16" bestFit="1" customWidth="1"/>
    <col min="8662" max="8662" width="29.140625" customWidth="1"/>
    <col min="8663" max="8663" width="15.7109375" customWidth="1"/>
    <col min="8664" max="8665" width="6.42578125" customWidth="1"/>
    <col min="8666" max="8666" width="24.5703125" customWidth="1"/>
    <col min="8667" max="8667" width="34.7109375" customWidth="1"/>
    <col min="8668" max="8668" width="16.42578125" customWidth="1"/>
    <col min="8669" max="8669" width="16" bestFit="1" customWidth="1"/>
    <col min="8670" max="8670" width="29.140625" customWidth="1"/>
    <col min="8671" max="8671" width="15.7109375" customWidth="1"/>
    <col min="8672" max="8673" width="6.42578125" customWidth="1"/>
    <col min="8674" max="8674" width="24.5703125" customWidth="1"/>
    <col min="8675" max="8675" width="34.7109375" customWidth="1"/>
    <col min="8676" max="8676" width="16.42578125" customWidth="1"/>
    <col min="8677" max="8677" width="16" bestFit="1" customWidth="1"/>
    <col min="8678" max="8678" width="29.140625" customWidth="1"/>
    <col min="8679" max="8679" width="15.7109375" customWidth="1"/>
    <col min="8680" max="8681" width="6.42578125" customWidth="1"/>
    <col min="8682" max="8682" width="24.5703125" customWidth="1"/>
    <col min="8683" max="8683" width="34.7109375" customWidth="1"/>
    <col min="8684" max="8684" width="16.42578125" customWidth="1"/>
    <col min="8685" max="8685" width="16" bestFit="1" customWidth="1"/>
    <col min="8686" max="8686" width="29.140625" customWidth="1"/>
    <col min="8687" max="8687" width="15.7109375" customWidth="1"/>
    <col min="8688" max="8689" width="6.42578125" customWidth="1"/>
    <col min="8690" max="8690" width="24.5703125" customWidth="1"/>
    <col min="8691" max="8691" width="34.7109375" customWidth="1"/>
    <col min="8692" max="8692" width="16.42578125" customWidth="1"/>
    <col min="8693" max="8693" width="16" bestFit="1" customWidth="1"/>
    <col min="8694" max="8694" width="29.140625" customWidth="1"/>
    <col min="8695" max="8695" width="15.7109375" customWidth="1"/>
    <col min="8696" max="8697" width="6.42578125" customWidth="1"/>
    <col min="8698" max="8698" width="24.5703125" customWidth="1"/>
    <col min="8699" max="8699" width="34.7109375" customWidth="1"/>
    <col min="8700" max="8700" width="16.42578125" customWidth="1"/>
    <col min="8701" max="8701" width="16" bestFit="1" customWidth="1"/>
    <col min="8702" max="8702" width="29.140625" customWidth="1"/>
    <col min="8703" max="8703" width="15.7109375" customWidth="1"/>
    <col min="8704" max="8705" width="6.42578125" customWidth="1"/>
    <col min="8706" max="8706" width="24.5703125" customWidth="1"/>
    <col min="8707" max="8707" width="34.7109375" customWidth="1"/>
    <col min="8708" max="8708" width="16.42578125" customWidth="1"/>
    <col min="8709" max="8709" width="16" bestFit="1" customWidth="1"/>
    <col min="8710" max="8710" width="29.140625" customWidth="1"/>
    <col min="8711" max="8711" width="15.7109375" customWidth="1"/>
    <col min="8712" max="8713" width="6.42578125" customWidth="1"/>
    <col min="8714" max="8714" width="24.5703125" customWidth="1"/>
    <col min="8715" max="8715" width="34.7109375" customWidth="1"/>
    <col min="8716" max="8716" width="16.42578125" customWidth="1"/>
    <col min="8717" max="8717" width="16" bestFit="1" customWidth="1"/>
    <col min="8718" max="8718" width="29.140625" customWidth="1"/>
    <col min="8719" max="8719" width="15.7109375" customWidth="1"/>
    <col min="8720" max="8721" width="6.42578125" customWidth="1"/>
    <col min="8722" max="8722" width="24.5703125" customWidth="1"/>
    <col min="8723" max="8723" width="34.7109375" customWidth="1"/>
    <col min="8724" max="8724" width="16.42578125" customWidth="1"/>
    <col min="8725" max="8725" width="16" bestFit="1" customWidth="1"/>
    <col min="8726" max="8726" width="29.140625" customWidth="1"/>
    <col min="8727" max="8727" width="15.7109375" customWidth="1"/>
    <col min="8728" max="8729" width="6.42578125" customWidth="1"/>
    <col min="8730" max="8730" width="24.5703125" customWidth="1"/>
    <col min="8731" max="8731" width="34.7109375" customWidth="1"/>
    <col min="8732" max="8732" width="16.42578125" customWidth="1"/>
    <col min="8733" max="8733" width="16" bestFit="1" customWidth="1"/>
    <col min="8734" max="8734" width="29.140625" customWidth="1"/>
    <col min="8735" max="8735" width="15.7109375" customWidth="1"/>
    <col min="8736" max="8737" width="6.42578125" customWidth="1"/>
    <col min="8738" max="8738" width="24.5703125" customWidth="1"/>
    <col min="8739" max="8739" width="34.7109375" customWidth="1"/>
    <col min="8740" max="8740" width="16.42578125" customWidth="1"/>
    <col min="8741" max="8741" width="16" bestFit="1" customWidth="1"/>
    <col min="8742" max="8742" width="29.140625" customWidth="1"/>
    <col min="8743" max="8743" width="15.7109375" customWidth="1"/>
    <col min="8744" max="8745" width="6.42578125" customWidth="1"/>
    <col min="8746" max="8746" width="24.5703125" customWidth="1"/>
    <col min="8747" max="8747" width="34.7109375" customWidth="1"/>
    <col min="8748" max="8748" width="16.42578125" customWidth="1"/>
    <col min="8749" max="8749" width="16" bestFit="1" customWidth="1"/>
    <col min="8750" max="8750" width="29.140625" customWidth="1"/>
    <col min="8751" max="8751" width="15.7109375" customWidth="1"/>
    <col min="8752" max="8753" width="6.42578125" customWidth="1"/>
    <col min="8754" max="8754" width="24.5703125" customWidth="1"/>
    <col min="8755" max="8755" width="34.7109375" customWidth="1"/>
    <col min="8756" max="8756" width="16.42578125" customWidth="1"/>
    <col min="8757" max="8757" width="16" bestFit="1" customWidth="1"/>
    <col min="8758" max="8758" width="29.140625" customWidth="1"/>
    <col min="8759" max="8759" width="15.7109375" customWidth="1"/>
    <col min="8760" max="8761" width="6.42578125" customWidth="1"/>
    <col min="8762" max="8762" width="24.5703125" customWidth="1"/>
    <col min="8763" max="8763" width="34.7109375" customWidth="1"/>
    <col min="8764" max="8764" width="16.42578125" customWidth="1"/>
    <col min="8765" max="8765" width="16" bestFit="1" customWidth="1"/>
    <col min="8766" max="8766" width="29.140625" customWidth="1"/>
    <col min="8767" max="8767" width="15.7109375" customWidth="1"/>
    <col min="8768" max="8769" width="6.42578125" customWidth="1"/>
    <col min="8770" max="8770" width="24.5703125" customWidth="1"/>
    <col min="8771" max="8771" width="34.7109375" customWidth="1"/>
    <col min="8772" max="8772" width="16.42578125" customWidth="1"/>
    <col min="8773" max="8773" width="16" bestFit="1" customWidth="1"/>
    <col min="8774" max="8774" width="29.140625" customWidth="1"/>
    <col min="8775" max="8775" width="15.7109375" customWidth="1"/>
    <col min="8776" max="8777" width="6.42578125" customWidth="1"/>
    <col min="8778" max="8778" width="24.5703125" customWidth="1"/>
    <col min="8779" max="8779" width="34.7109375" customWidth="1"/>
    <col min="8780" max="8780" width="16.42578125" customWidth="1"/>
    <col min="8781" max="8781" width="16" bestFit="1" customWidth="1"/>
    <col min="8782" max="8782" width="29.140625" customWidth="1"/>
    <col min="8783" max="8783" width="15.7109375" customWidth="1"/>
    <col min="8784" max="8785" width="6.42578125" customWidth="1"/>
    <col min="8786" max="8786" width="24.5703125" customWidth="1"/>
    <col min="8787" max="8787" width="34.7109375" customWidth="1"/>
    <col min="8788" max="8788" width="16.42578125" customWidth="1"/>
    <col min="8789" max="8789" width="16" bestFit="1" customWidth="1"/>
    <col min="8790" max="8790" width="29.140625" customWidth="1"/>
    <col min="8791" max="8791" width="15.7109375" customWidth="1"/>
    <col min="8792" max="8793" width="6.42578125" customWidth="1"/>
    <col min="8794" max="8794" width="24.5703125" customWidth="1"/>
    <col min="8795" max="8795" width="34.7109375" customWidth="1"/>
    <col min="8796" max="8796" width="16.42578125" customWidth="1"/>
    <col min="8797" max="8797" width="16" bestFit="1" customWidth="1"/>
    <col min="8798" max="8798" width="29.140625" customWidth="1"/>
    <col min="8799" max="8799" width="15.7109375" customWidth="1"/>
    <col min="8800" max="8801" width="6.42578125" customWidth="1"/>
    <col min="8802" max="8802" width="24.5703125" customWidth="1"/>
    <col min="8803" max="8803" width="34.7109375" customWidth="1"/>
    <col min="8804" max="8804" width="16.42578125" customWidth="1"/>
    <col min="8805" max="8805" width="16" bestFit="1" customWidth="1"/>
    <col min="8806" max="8806" width="29.140625" customWidth="1"/>
    <col min="8807" max="8807" width="15.7109375" customWidth="1"/>
    <col min="8808" max="8809" width="6.42578125" customWidth="1"/>
    <col min="8810" max="8810" width="24.5703125" customWidth="1"/>
    <col min="8811" max="8811" width="34.7109375" customWidth="1"/>
    <col min="8812" max="8812" width="16.42578125" customWidth="1"/>
    <col min="8813" max="8813" width="16" bestFit="1" customWidth="1"/>
    <col min="8814" max="8814" width="29.140625" customWidth="1"/>
    <col min="8815" max="8815" width="15.7109375" customWidth="1"/>
    <col min="8816" max="8817" width="6.42578125" customWidth="1"/>
    <col min="8818" max="8818" width="24.5703125" customWidth="1"/>
    <col min="8819" max="8819" width="34.7109375" customWidth="1"/>
    <col min="8820" max="8820" width="16.42578125" customWidth="1"/>
    <col min="8821" max="8821" width="16" bestFit="1" customWidth="1"/>
    <col min="8822" max="8822" width="29.140625" customWidth="1"/>
    <col min="8823" max="8823" width="15.7109375" customWidth="1"/>
    <col min="8824" max="8825" width="6.42578125" customWidth="1"/>
    <col min="8826" max="8826" width="24.5703125" customWidth="1"/>
    <col min="8827" max="8827" width="34.7109375" customWidth="1"/>
    <col min="8828" max="8828" width="16.42578125" customWidth="1"/>
    <col min="8829" max="8829" width="16" bestFit="1" customWidth="1"/>
    <col min="8830" max="8830" width="29.140625" customWidth="1"/>
    <col min="8831" max="8831" width="15.7109375" customWidth="1"/>
    <col min="8832" max="8833" width="6.42578125" customWidth="1"/>
    <col min="8834" max="8834" width="24.5703125" customWidth="1"/>
    <col min="8835" max="8835" width="34.7109375" customWidth="1"/>
    <col min="8836" max="8836" width="16.42578125" customWidth="1"/>
    <col min="8837" max="8837" width="16" bestFit="1" customWidth="1"/>
    <col min="8838" max="8838" width="29.140625" customWidth="1"/>
    <col min="8839" max="8839" width="15.7109375" customWidth="1"/>
    <col min="8840" max="8841" width="6.42578125" customWidth="1"/>
    <col min="8842" max="8842" width="24.5703125" customWidth="1"/>
    <col min="8843" max="8843" width="34.7109375" customWidth="1"/>
    <col min="8844" max="8844" width="16.42578125" customWidth="1"/>
    <col min="8845" max="8845" width="16" bestFit="1" customWidth="1"/>
    <col min="8846" max="8846" width="29.140625" customWidth="1"/>
    <col min="8847" max="8847" width="15.7109375" customWidth="1"/>
    <col min="8848" max="8849" width="6.42578125" customWidth="1"/>
    <col min="8850" max="8850" width="24.5703125" customWidth="1"/>
    <col min="8851" max="8851" width="34.7109375" customWidth="1"/>
    <col min="8852" max="8852" width="16.42578125" customWidth="1"/>
    <col min="8853" max="8853" width="16" bestFit="1" customWidth="1"/>
    <col min="8854" max="8854" width="29.140625" customWidth="1"/>
    <col min="8855" max="8855" width="15.7109375" customWidth="1"/>
    <col min="8856" max="8857" width="6.42578125" customWidth="1"/>
    <col min="8858" max="8858" width="24.5703125" customWidth="1"/>
    <col min="8859" max="8859" width="34.7109375" customWidth="1"/>
    <col min="8860" max="8860" width="16.42578125" customWidth="1"/>
    <col min="8861" max="8861" width="16" bestFit="1" customWidth="1"/>
    <col min="8862" max="8862" width="29.140625" customWidth="1"/>
    <col min="8863" max="8863" width="15.7109375" customWidth="1"/>
    <col min="8864" max="8865" width="6.42578125" customWidth="1"/>
    <col min="8866" max="8866" width="24.5703125" customWidth="1"/>
    <col min="8867" max="8867" width="34.7109375" customWidth="1"/>
    <col min="8868" max="8868" width="16.42578125" customWidth="1"/>
    <col min="8869" max="8869" width="16" bestFit="1" customWidth="1"/>
    <col min="8870" max="8870" width="29.140625" customWidth="1"/>
    <col min="8871" max="8871" width="15.7109375" customWidth="1"/>
    <col min="8872" max="8873" width="6.42578125" customWidth="1"/>
    <col min="8874" max="8874" width="24.5703125" customWidth="1"/>
    <col min="8875" max="8875" width="34.7109375" customWidth="1"/>
    <col min="8876" max="8876" width="16.42578125" customWidth="1"/>
    <col min="8877" max="8877" width="16" bestFit="1" customWidth="1"/>
    <col min="8878" max="8878" width="29.140625" customWidth="1"/>
    <col min="8879" max="8879" width="15.7109375" customWidth="1"/>
    <col min="8880" max="8881" width="6.42578125" customWidth="1"/>
    <col min="8882" max="8882" width="24.5703125" customWidth="1"/>
    <col min="8883" max="8883" width="34.7109375" customWidth="1"/>
    <col min="8884" max="8884" width="16.42578125" customWidth="1"/>
    <col min="8885" max="8885" width="16" bestFit="1" customWidth="1"/>
    <col min="8886" max="8886" width="29.140625" customWidth="1"/>
    <col min="8887" max="8887" width="15.7109375" customWidth="1"/>
    <col min="8888" max="8889" width="6.42578125" customWidth="1"/>
    <col min="8890" max="8890" width="24.5703125" customWidth="1"/>
    <col min="8891" max="8891" width="34.7109375" customWidth="1"/>
    <col min="8892" max="8892" width="16.42578125" customWidth="1"/>
    <col min="8893" max="8893" width="16" bestFit="1" customWidth="1"/>
    <col min="8894" max="8894" width="29.140625" customWidth="1"/>
    <col min="8895" max="8895" width="15.7109375" customWidth="1"/>
    <col min="8896" max="8897" width="6.42578125" customWidth="1"/>
    <col min="8898" max="8898" width="24.5703125" customWidth="1"/>
    <col min="8899" max="8899" width="34.7109375" customWidth="1"/>
    <col min="8900" max="8900" width="16.42578125" customWidth="1"/>
    <col min="8901" max="8901" width="16" bestFit="1" customWidth="1"/>
    <col min="8902" max="8902" width="29.140625" customWidth="1"/>
    <col min="8903" max="8903" width="15.7109375" customWidth="1"/>
    <col min="8904" max="8905" width="6.42578125" customWidth="1"/>
    <col min="8906" max="8906" width="24.5703125" customWidth="1"/>
    <col min="8907" max="8907" width="34.7109375" customWidth="1"/>
    <col min="8908" max="8908" width="16.42578125" customWidth="1"/>
    <col min="8909" max="8909" width="16" bestFit="1" customWidth="1"/>
    <col min="8910" max="8910" width="29.140625" customWidth="1"/>
    <col min="8911" max="8911" width="15.7109375" customWidth="1"/>
    <col min="8912" max="8913" width="6.42578125" customWidth="1"/>
    <col min="8914" max="8914" width="24.5703125" customWidth="1"/>
    <col min="8915" max="8915" width="34.7109375" customWidth="1"/>
    <col min="8916" max="8916" width="16.42578125" customWidth="1"/>
    <col min="8917" max="8917" width="16" bestFit="1" customWidth="1"/>
    <col min="8918" max="8918" width="29.140625" customWidth="1"/>
    <col min="8919" max="8919" width="15.7109375" customWidth="1"/>
    <col min="8920" max="8921" width="6.42578125" customWidth="1"/>
    <col min="8922" max="8922" width="24.5703125" customWidth="1"/>
    <col min="8923" max="8923" width="34.7109375" customWidth="1"/>
    <col min="8924" max="8924" width="16.42578125" customWidth="1"/>
    <col min="8925" max="8925" width="16" bestFit="1" customWidth="1"/>
    <col min="8926" max="8926" width="29.140625" customWidth="1"/>
    <col min="8927" max="8927" width="15.7109375" customWidth="1"/>
    <col min="8928" max="8929" width="6.42578125" customWidth="1"/>
    <col min="8930" max="8930" width="24.5703125" customWidth="1"/>
    <col min="8931" max="8931" width="34.7109375" customWidth="1"/>
    <col min="8932" max="8932" width="16.42578125" customWidth="1"/>
    <col min="8933" max="8933" width="16" bestFit="1" customWidth="1"/>
    <col min="8934" max="8934" width="29.140625" customWidth="1"/>
    <col min="8935" max="8935" width="15.7109375" customWidth="1"/>
    <col min="8936" max="8937" width="6.42578125" customWidth="1"/>
    <col min="8938" max="8938" width="24.5703125" customWidth="1"/>
    <col min="8939" max="8939" width="34.7109375" customWidth="1"/>
    <col min="8940" max="8940" width="16.42578125" customWidth="1"/>
    <col min="8941" max="8941" width="16" bestFit="1" customWidth="1"/>
    <col min="8942" max="8942" width="29.140625" customWidth="1"/>
    <col min="8943" max="8943" width="15.7109375" customWidth="1"/>
    <col min="8944" max="8945" width="6.42578125" customWidth="1"/>
    <col min="8946" max="8946" width="24.5703125" customWidth="1"/>
    <col min="8947" max="8947" width="34.7109375" customWidth="1"/>
    <col min="8948" max="8948" width="16.42578125" customWidth="1"/>
    <col min="8949" max="8949" width="16" bestFit="1" customWidth="1"/>
    <col min="8950" max="8950" width="29.140625" customWidth="1"/>
    <col min="8951" max="8951" width="15.7109375" customWidth="1"/>
    <col min="8952" max="8953" width="6.42578125" customWidth="1"/>
    <col min="8954" max="8954" width="24.5703125" customWidth="1"/>
    <col min="8955" max="8955" width="34.7109375" customWidth="1"/>
    <col min="8956" max="8956" width="16.42578125" customWidth="1"/>
    <col min="8957" max="8957" width="16" bestFit="1" customWidth="1"/>
    <col min="8958" max="8958" width="29.140625" customWidth="1"/>
    <col min="8959" max="8959" width="15.7109375" customWidth="1"/>
    <col min="8960" max="8961" width="6.42578125" customWidth="1"/>
    <col min="8962" max="8962" width="24.5703125" customWidth="1"/>
    <col min="8963" max="8963" width="34.7109375" customWidth="1"/>
    <col min="8964" max="8964" width="16.42578125" customWidth="1"/>
    <col min="8965" max="8965" width="16" bestFit="1" customWidth="1"/>
    <col min="8966" max="8966" width="29.140625" customWidth="1"/>
    <col min="8967" max="8967" width="15.7109375" customWidth="1"/>
    <col min="8968" max="8969" width="6.42578125" customWidth="1"/>
    <col min="8970" max="8970" width="24.5703125" customWidth="1"/>
    <col min="8971" max="8971" width="34.7109375" customWidth="1"/>
    <col min="8972" max="8972" width="16.42578125" customWidth="1"/>
    <col min="8973" max="8973" width="16" bestFit="1" customWidth="1"/>
    <col min="8974" max="8974" width="29.140625" customWidth="1"/>
    <col min="8975" max="8975" width="15.7109375" customWidth="1"/>
    <col min="8976" max="8977" width="6.42578125" customWidth="1"/>
    <col min="8978" max="8978" width="24.5703125" customWidth="1"/>
    <col min="8979" max="8979" width="34.7109375" customWidth="1"/>
    <col min="8980" max="8980" width="16.42578125" customWidth="1"/>
    <col min="8981" max="8981" width="16" bestFit="1" customWidth="1"/>
    <col min="8982" max="8982" width="29.140625" customWidth="1"/>
    <col min="8983" max="8983" width="15.7109375" customWidth="1"/>
    <col min="8984" max="8985" width="6.42578125" customWidth="1"/>
    <col min="8986" max="8986" width="24.5703125" customWidth="1"/>
    <col min="8987" max="8987" width="34.7109375" customWidth="1"/>
    <col min="8988" max="8988" width="16.42578125" customWidth="1"/>
    <col min="8989" max="8989" width="16" bestFit="1" customWidth="1"/>
    <col min="8990" max="8990" width="29.140625" customWidth="1"/>
    <col min="8991" max="8991" width="15.7109375" customWidth="1"/>
    <col min="8992" max="8993" width="6.42578125" customWidth="1"/>
    <col min="8994" max="8994" width="24.5703125" customWidth="1"/>
    <col min="8995" max="8995" width="34.7109375" customWidth="1"/>
    <col min="8996" max="8996" width="16.42578125" customWidth="1"/>
    <col min="8997" max="8997" width="16" bestFit="1" customWidth="1"/>
    <col min="8998" max="8998" width="29.140625" customWidth="1"/>
    <col min="8999" max="8999" width="15.7109375" customWidth="1"/>
    <col min="9000" max="9001" width="6.42578125" customWidth="1"/>
    <col min="9002" max="9002" width="24.5703125" customWidth="1"/>
    <col min="9003" max="9003" width="34.7109375" customWidth="1"/>
    <col min="9004" max="9004" width="16.42578125" customWidth="1"/>
    <col min="9005" max="9005" width="16" bestFit="1" customWidth="1"/>
    <col min="9006" max="9006" width="29.140625" customWidth="1"/>
    <col min="9007" max="9007" width="15.7109375" customWidth="1"/>
    <col min="9008" max="9009" width="6.42578125" customWidth="1"/>
    <col min="9010" max="9010" width="24.5703125" customWidth="1"/>
    <col min="9011" max="9011" width="34.7109375" customWidth="1"/>
    <col min="9012" max="9012" width="16.42578125" customWidth="1"/>
    <col min="9013" max="9013" width="16" bestFit="1" customWidth="1"/>
    <col min="9014" max="9014" width="29.140625" customWidth="1"/>
    <col min="9015" max="9015" width="15.7109375" customWidth="1"/>
    <col min="9016" max="9017" width="6.42578125" customWidth="1"/>
    <col min="9018" max="9018" width="24.5703125" customWidth="1"/>
    <col min="9019" max="9019" width="34.7109375" customWidth="1"/>
    <col min="9020" max="9020" width="16.42578125" customWidth="1"/>
    <col min="9021" max="9021" width="16" bestFit="1" customWidth="1"/>
    <col min="9022" max="9022" width="29.140625" customWidth="1"/>
    <col min="9023" max="9023" width="15.7109375" customWidth="1"/>
    <col min="9024" max="9025" width="6.42578125" customWidth="1"/>
    <col min="9026" max="9026" width="24.5703125" customWidth="1"/>
    <col min="9027" max="9027" width="34.7109375" customWidth="1"/>
    <col min="9028" max="9028" width="16.42578125" customWidth="1"/>
    <col min="9029" max="9029" width="16" bestFit="1" customWidth="1"/>
    <col min="9030" max="9030" width="29.140625" customWidth="1"/>
    <col min="9031" max="9031" width="15.7109375" customWidth="1"/>
    <col min="9032" max="9033" width="6.42578125" customWidth="1"/>
    <col min="9034" max="9034" width="24.5703125" customWidth="1"/>
    <col min="9035" max="9035" width="34.7109375" customWidth="1"/>
    <col min="9036" max="9036" width="16.42578125" customWidth="1"/>
    <col min="9037" max="9037" width="16" bestFit="1" customWidth="1"/>
    <col min="9038" max="9038" width="29.140625" customWidth="1"/>
    <col min="9039" max="9039" width="15.7109375" customWidth="1"/>
    <col min="9040" max="9041" width="6.42578125" customWidth="1"/>
    <col min="9042" max="9042" width="24.5703125" customWidth="1"/>
    <col min="9043" max="9043" width="34.7109375" customWidth="1"/>
    <col min="9044" max="9044" width="16.42578125" customWidth="1"/>
    <col min="9045" max="9045" width="16" bestFit="1" customWidth="1"/>
    <col min="9046" max="9046" width="29.140625" customWidth="1"/>
    <col min="9047" max="9047" width="15.7109375" customWidth="1"/>
    <col min="9048" max="9049" width="6.42578125" customWidth="1"/>
    <col min="9050" max="9050" width="24.5703125" customWidth="1"/>
    <col min="9051" max="9051" width="34.7109375" customWidth="1"/>
    <col min="9052" max="9052" width="16.42578125" customWidth="1"/>
    <col min="9053" max="9053" width="16" bestFit="1" customWidth="1"/>
    <col min="9054" max="9054" width="29.140625" customWidth="1"/>
    <col min="9055" max="9055" width="15.7109375" customWidth="1"/>
    <col min="9056" max="9057" width="6.42578125" customWidth="1"/>
    <col min="9058" max="9058" width="24.5703125" customWidth="1"/>
    <col min="9059" max="9059" width="34.7109375" customWidth="1"/>
    <col min="9060" max="9060" width="16.42578125" customWidth="1"/>
    <col min="9061" max="9061" width="16" bestFit="1" customWidth="1"/>
    <col min="9062" max="9062" width="29.140625" customWidth="1"/>
    <col min="9063" max="9063" width="15.7109375" customWidth="1"/>
    <col min="9064" max="9065" width="6.42578125" customWidth="1"/>
    <col min="9066" max="9066" width="24.5703125" customWidth="1"/>
    <col min="9067" max="9067" width="34.7109375" customWidth="1"/>
    <col min="9068" max="9068" width="16.42578125" customWidth="1"/>
    <col min="9069" max="9069" width="16" bestFit="1" customWidth="1"/>
    <col min="9070" max="9070" width="29.140625" customWidth="1"/>
    <col min="9071" max="9071" width="15.7109375" customWidth="1"/>
    <col min="9072" max="9073" width="6.42578125" customWidth="1"/>
    <col min="9074" max="9074" width="24.5703125" customWidth="1"/>
    <col min="9075" max="9075" width="34.7109375" customWidth="1"/>
    <col min="9076" max="9076" width="16.42578125" customWidth="1"/>
    <col min="9077" max="9077" width="16" bestFit="1" customWidth="1"/>
    <col min="9078" max="9078" width="29.140625" customWidth="1"/>
    <col min="9079" max="9079" width="15.7109375" customWidth="1"/>
    <col min="9080" max="9081" width="6.42578125" customWidth="1"/>
    <col min="9082" max="9082" width="24.5703125" customWidth="1"/>
    <col min="9083" max="9083" width="34.7109375" customWidth="1"/>
    <col min="9084" max="9084" width="16.42578125" customWidth="1"/>
    <col min="9085" max="9085" width="16" bestFit="1" customWidth="1"/>
    <col min="9086" max="9086" width="29.140625" customWidth="1"/>
    <col min="9087" max="9087" width="15.7109375" customWidth="1"/>
    <col min="9088" max="9089" width="6.42578125" customWidth="1"/>
    <col min="9090" max="9090" width="24.5703125" customWidth="1"/>
    <col min="9091" max="9091" width="34.7109375" customWidth="1"/>
    <col min="9092" max="9092" width="16.42578125" customWidth="1"/>
    <col min="9093" max="9093" width="16" bestFit="1" customWidth="1"/>
    <col min="9094" max="9094" width="29.140625" customWidth="1"/>
    <col min="9095" max="9095" width="15.7109375" customWidth="1"/>
    <col min="9096" max="9097" width="6.42578125" customWidth="1"/>
    <col min="9098" max="9098" width="24.5703125" customWidth="1"/>
    <col min="9099" max="9099" width="34.7109375" customWidth="1"/>
    <col min="9100" max="9100" width="16.42578125" customWidth="1"/>
    <col min="9101" max="9101" width="16" bestFit="1" customWidth="1"/>
    <col min="9102" max="9102" width="29.140625" customWidth="1"/>
    <col min="9103" max="9103" width="15.7109375" customWidth="1"/>
    <col min="9104" max="9105" width="6.42578125" customWidth="1"/>
    <col min="9106" max="9106" width="24.5703125" customWidth="1"/>
    <col min="9107" max="9107" width="34.7109375" customWidth="1"/>
    <col min="9108" max="9108" width="16.42578125" customWidth="1"/>
    <col min="9109" max="9109" width="16" bestFit="1" customWidth="1"/>
    <col min="9110" max="9110" width="29.140625" customWidth="1"/>
    <col min="9111" max="9111" width="15.7109375" customWidth="1"/>
    <col min="9112" max="9113" width="6.42578125" customWidth="1"/>
    <col min="9114" max="9114" width="24.5703125" customWidth="1"/>
    <col min="9115" max="9115" width="34.7109375" customWidth="1"/>
    <col min="9116" max="9116" width="16.42578125" customWidth="1"/>
    <col min="9117" max="9117" width="16" bestFit="1" customWidth="1"/>
    <col min="9118" max="9118" width="29.140625" customWidth="1"/>
    <col min="9119" max="9119" width="15.7109375" customWidth="1"/>
    <col min="9120" max="9121" width="6.42578125" customWidth="1"/>
    <col min="9122" max="9122" width="24.5703125" customWidth="1"/>
    <col min="9123" max="9123" width="34.7109375" customWidth="1"/>
    <col min="9124" max="9124" width="16.42578125" customWidth="1"/>
    <col min="9125" max="9125" width="16" bestFit="1" customWidth="1"/>
    <col min="9126" max="9126" width="29.140625" customWidth="1"/>
    <col min="9127" max="9127" width="15.7109375" customWidth="1"/>
    <col min="9128" max="9129" width="6.42578125" customWidth="1"/>
    <col min="9130" max="9130" width="24.5703125" customWidth="1"/>
    <col min="9131" max="9131" width="34.7109375" customWidth="1"/>
    <col min="9132" max="9132" width="16.42578125" customWidth="1"/>
    <col min="9133" max="9133" width="16" bestFit="1" customWidth="1"/>
    <col min="9134" max="9134" width="29.140625" customWidth="1"/>
    <col min="9135" max="9135" width="15.7109375" customWidth="1"/>
    <col min="9136" max="9137" width="6.42578125" customWidth="1"/>
    <col min="9138" max="9138" width="24.5703125" customWidth="1"/>
    <col min="9139" max="9139" width="34.7109375" customWidth="1"/>
    <col min="9140" max="9140" width="16.42578125" customWidth="1"/>
    <col min="9141" max="9141" width="16" bestFit="1" customWidth="1"/>
    <col min="9142" max="9142" width="29.140625" customWidth="1"/>
    <col min="9143" max="9143" width="15.7109375" customWidth="1"/>
    <col min="9144" max="9145" width="6.42578125" customWidth="1"/>
    <col min="9146" max="9146" width="24.5703125" customWidth="1"/>
    <col min="9147" max="9147" width="34.7109375" customWidth="1"/>
    <col min="9148" max="9148" width="16.42578125" customWidth="1"/>
    <col min="9149" max="9149" width="16" bestFit="1" customWidth="1"/>
    <col min="9150" max="9150" width="29.140625" customWidth="1"/>
    <col min="9151" max="9151" width="15.7109375" customWidth="1"/>
    <col min="9152" max="9153" width="6.42578125" customWidth="1"/>
    <col min="9154" max="9154" width="24.5703125" customWidth="1"/>
    <col min="9155" max="9155" width="34.7109375" customWidth="1"/>
    <col min="9156" max="9156" width="16.42578125" customWidth="1"/>
    <col min="9157" max="9157" width="16" bestFit="1" customWidth="1"/>
    <col min="9158" max="9158" width="29.140625" customWidth="1"/>
    <col min="9159" max="9159" width="15.7109375" customWidth="1"/>
    <col min="9160" max="9161" width="6.42578125" customWidth="1"/>
    <col min="9162" max="9162" width="24.5703125" customWidth="1"/>
    <col min="9163" max="9163" width="34.7109375" customWidth="1"/>
    <col min="9164" max="9164" width="16.42578125" customWidth="1"/>
    <col min="9165" max="9165" width="16" bestFit="1" customWidth="1"/>
    <col min="9166" max="9166" width="29.140625" customWidth="1"/>
    <col min="9167" max="9167" width="15.7109375" customWidth="1"/>
    <col min="9168" max="9169" width="6.42578125" customWidth="1"/>
    <col min="9170" max="9170" width="24.5703125" customWidth="1"/>
    <col min="9171" max="9171" width="34.7109375" customWidth="1"/>
    <col min="9172" max="9172" width="16.42578125" customWidth="1"/>
    <col min="9173" max="9173" width="16" bestFit="1" customWidth="1"/>
    <col min="9174" max="9174" width="29.140625" customWidth="1"/>
    <col min="9175" max="9175" width="15.7109375" customWidth="1"/>
    <col min="9176" max="9177" width="6.42578125" customWidth="1"/>
    <col min="9178" max="9178" width="24.5703125" customWidth="1"/>
    <col min="9179" max="9179" width="34.7109375" customWidth="1"/>
    <col min="9180" max="9180" width="16.42578125" customWidth="1"/>
    <col min="9181" max="9181" width="16" bestFit="1" customWidth="1"/>
    <col min="9182" max="9182" width="29.140625" customWidth="1"/>
    <col min="9183" max="9183" width="15.7109375" customWidth="1"/>
    <col min="9184" max="9185" width="6.42578125" customWidth="1"/>
    <col min="9186" max="9186" width="24.5703125" customWidth="1"/>
    <col min="9187" max="9187" width="34.7109375" customWidth="1"/>
    <col min="9188" max="9188" width="16.42578125" customWidth="1"/>
    <col min="9189" max="9189" width="16" bestFit="1" customWidth="1"/>
    <col min="9190" max="9190" width="29.140625" customWidth="1"/>
    <col min="9191" max="9191" width="15.7109375" customWidth="1"/>
    <col min="9192" max="9193" width="6.42578125" customWidth="1"/>
    <col min="9194" max="9194" width="24.5703125" customWidth="1"/>
    <col min="9195" max="9195" width="34.7109375" customWidth="1"/>
    <col min="9196" max="9196" width="16.42578125" customWidth="1"/>
    <col min="9197" max="9197" width="16" bestFit="1" customWidth="1"/>
    <col min="9198" max="9198" width="29.140625" customWidth="1"/>
    <col min="9199" max="9199" width="15.7109375" customWidth="1"/>
    <col min="9200" max="9201" width="6.42578125" customWidth="1"/>
    <col min="9202" max="9202" width="24.5703125" customWidth="1"/>
    <col min="9203" max="9203" width="34.7109375" customWidth="1"/>
    <col min="9204" max="9204" width="16.42578125" customWidth="1"/>
    <col min="9205" max="9205" width="16" bestFit="1" customWidth="1"/>
    <col min="9206" max="9206" width="29.140625" customWidth="1"/>
    <col min="9207" max="9207" width="15.7109375" customWidth="1"/>
    <col min="9208" max="9209" width="6.42578125" customWidth="1"/>
    <col min="9210" max="9210" width="24.5703125" customWidth="1"/>
    <col min="9211" max="9211" width="34.7109375" customWidth="1"/>
    <col min="9212" max="9212" width="16.42578125" customWidth="1"/>
    <col min="9213" max="9213" width="16" bestFit="1" customWidth="1"/>
    <col min="9214" max="9214" width="29.140625" customWidth="1"/>
    <col min="9215" max="9215" width="15.7109375" customWidth="1"/>
    <col min="9216" max="9217" width="6.42578125" customWidth="1"/>
    <col min="9218" max="9218" width="24.5703125" customWidth="1"/>
    <col min="9219" max="9219" width="34.7109375" customWidth="1"/>
    <col min="9220" max="9220" width="16.42578125" customWidth="1"/>
    <col min="9221" max="9221" width="16" bestFit="1" customWidth="1"/>
    <col min="9222" max="9222" width="29.140625" customWidth="1"/>
    <col min="9223" max="9223" width="15.7109375" customWidth="1"/>
    <col min="9224" max="9225" width="6.42578125" customWidth="1"/>
    <col min="9226" max="9226" width="24.5703125" customWidth="1"/>
    <col min="9227" max="9227" width="34.7109375" customWidth="1"/>
    <col min="9228" max="9228" width="16.42578125" customWidth="1"/>
    <col min="9229" max="9229" width="16" bestFit="1" customWidth="1"/>
    <col min="9230" max="9230" width="29.140625" customWidth="1"/>
    <col min="9231" max="9231" width="15.7109375" customWidth="1"/>
    <col min="9232" max="9233" width="6.42578125" customWidth="1"/>
    <col min="9234" max="9234" width="24.5703125" customWidth="1"/>
    <col min="9235" max="9235" width="34.7109375" customWidth="1"/>
    <col min="9236" max="9236" width="16.42578125" customWidth="1"/>
    <col min="9237" max="9237" width="16" bestFit="1" customWidth="1"/>
    <col min="9238" max="9238" width="29.140625" customWidth="1"/>
    <col min="9239" max="9239" width="15.7109375" customWidth="1"/>
    <col min="9240" max="9241" width="6.42578125" customWidth="1"/>
    <col min="9242" max="9242" width="24.5703125" customWidth="1"/>
    <col min="9243" max="9243" width="34.7109375" customWidth="1"/>
    <col min="9244" max="9244" width="16.42578125" customWidth="1"/>
    <col min="9245" max="9245" width="16" bestFit="1" customWidth="1"/>
    <col min="9246" max="9246" width="29.140625" customWidth="1"/>
    <col min="9247" max="9247" width="15.7109375" customWidth="1"/>
    <col min="9248" max="9249" width="6.42578125" customWidth="1"/>
    <col min="9250" max="9250" width="24.5703125" customWidth="1"/>
    <col min="9251" max="9251" width="34.7109375" customWidth="1"/>
    <col min="9252" max="9252" width="16.42578125" customWidth="1"/>
    <col min="9253" max="9253" width="16" bestFit="1" customWidth="1"/>
    <col min="9254" max="9254" width="29.140625" customWidth="1"/>
    <col min="9255" max="9255" width="15.7109375" customWidth="1"/>
    <col min="9256" max="9257" width="6.42578125" customWidth="1"/>
    <col min="9258" max="9258" width="24.5703125" customWidth="1"/>
    <col min="9259" max="9259" width="34.7109375" customWidth="1"/>
    <col min="9260" max="9260" width="16.42578125" customWidth="1"/>
    <col min="9261" max="9261" width="16" bestFit="1" customWidth="1"/>
    <col min="9262" max="9262" width="29.140625" customWidth="1"/>
    <col min="9263" max="9263" width="15.7109375" customWidth="1"/>
    <col min="9264" max="9265" width="6.42578125" customWidth="1"/>
    <col min="9266" max="9266" width="24.5703125" customWidth="1"/>
    <col min="9267" max="9267" width="34.7109375" customWidth="1"/>
    <col min="9268" max="9268" width="16.42578125" customWidth="1"/>
    <col min="9269" max="9269" width="16" bestFit="1" customWidth="1"/>
    <col min="9270" max="9270" width="29.140625" customWidth="1"/>
    <col min="9271" max="9271" width="15.7109375" customWidth="1"/>
    <col min="9272" max="9273" width="6.42578125" customWidth="1"/>
    <col min="9274" max="9274" width="24.5703125" customWidth="1"/>
    <col min="9275" max="9275" width="34.7109375" customWidth="1"/>
    <col min="9276" max="9276" width="16.42578125" customWidth="1"/>
    <col min="9277" max="9277" width="16" bestFit="1" customWidth="1"/>
    <col min="9278" max="9278" width="29.140625" customWidth="1"/>
    <col min="9279" max="9279" width="15.7109375" customWidth="1"/>
    <col min="9280" max="9281" width="6.42578125" customWidth="1"/>
    <col min="9282" max="9282" width="24.5703125" customWidth="1"/>
    <col min="9283" max="9283" width="34.7109375" customWidth="1"/>
    <col min="9284" max="9284" width="16.42578125" customWidth="1"/>
    <col min="9285" max="9285" width="16" bestFit="1" customWidth="1"/>
    <col min="9286" max="9286" width="29.140625" customWidth="1"/>
    <col min="9287" max="9287" width="15.7109375" customWidth="1"/>
    <col min="9288" max="9289" width="6.42578125" customWidth="1"/>
    <col min="9290" max="9290" width="24.5703125" customWidth="1"/>
    <col min="9291" max="9291" width="34.7109375" customWidth="1"/>
    <col min="9292" max="9292" width="16.42578125" customWidth="1"/>
    <col min="9293" max="9293" width="16" bestFit="1" customWidth="1"/>
    <col min="9294" max="9294" width="29.140625" customWidth="1"/>
    <col min="9295" max="9295" width="15.7109375" customWidth="1"/>
    <col min="9296" max="9297" width="6.42578125" customWidth="1"/>
    <col min="9298" max="9298" width="24.5703125" customWidth="1"/>
    <col min="9299" max="9299" width="34.7109375" customWidth="1"/>
    <col min="9300" max="9300" width="16.42578125" customWidth="1"/>
    <col min="9301" max="9301" width="16" bestFit="1" customWidth="1"/>
    <col min="9302" max="9302" width="29.140625" customWidth="1"/>
    <col min="9303" max="9303" width="15.7109375" customWidth="1"/>
    <col min="9304" max="9305" width="6.42578125" customWidth="1"/>
    <col min="9306" max="9306" width="24.5703125" customWidth="1"/>
    <col min="9307" max="9307" width="34.7109375" customWidth="1"/>
    <col min="9308" max="9308" width="16.42578125" customWidth="1"/>
    <col min="9309" max="9309" width="16" bestFit="1" customWidth="1"/>
    <col min="9310" max="9310" width="29.140625" customWidth="1"/>
    <col min="9311" max="9311" width="15.7109375" customWidth="1"/>
    <col min="9312" max="9313" width="6.42578125" customWidth="1"/>
    <col min="9314" max="9314" width="24.5703125" customWidth="1"/>
    <col min="9315" max="9315" width="34.7109375" customWidth="1"/>
    <col min="9316" max="9316" width="16.42578125" customWidth="1"/>
    <col min="9317" max="9317" width="16" bestFit="1" customWidth="1"/>
    <col min="9318" max="9318" width="29.140625" customWidth="1"/>
    <col min="9319" max="9319" width="15.7109375" customWidth="1"/>
    <col min="9320" max="9321" width="6.42578125" customWidth="1"/>
    <col min="9322" max="9322" width="24.5703125" customWidth="1"/>
    <col min="9323" max="9323" width="34.7109375" customWidth="1"/>
    <col min="9324" max="9324" width="16.42578125" customWidth="1"/>
    <col min="9325" max="9325" width="16" bestFit="1" customWidth="1"/>
    <col min="9326" max="9326" width="29.140625" customWidth="1"/>
    <col min="9327" max="9327" width="15.7109375" customWidth="1"/>
    <col min="9328" max="9329" width="6.42578125" customWidth="1"/>
    <col min="9330" max="9330" width="24.5703125" customWidth="1"/>
    <col min="9331" max="9331" width="34.7109375" customWidth="1"/>
    <col min="9332" max="9332" width="16.42578125" customWidth="1"/>
    <col min="9333" max="9333" width="16" bestFit="1" customWidth="1"/>
    <col min="9334" max="9334" width="29.140625" customWidth="1"/>
    <col min="9335" max="9335" width="15.7109375" customWidth="1"/>
    <col min="9336" max="9337" width="6.42578125" customWidth="1"/>
    <col min="9338" max="9338" width="24.5703125" customWidth="1"/>
    <col min="9339" max="9339" width="34.7109375" customWidth="1"/>
    <col min="9340" max="9340" width="16.42578125" customWidth="1"/>
    <col min="9341" max="9341" width="16" bestFit="1" customWidth="1"/>
    <col min="9342" max="9342" width="29.140625" customWidth="1"/>
    <col min="9343" max="9343" width="15.7109375" customWidth="1"/>
    <col min="9344" max="9345" width="6.42578125" customWidth="1"/>
    <col min="9346" max="9346" width="24.5703125" customWidth="1"/>
    <col min="9347" max="9347" width="34.7109375" customWidth="1"/>
    <col min="9348" max="9348" width="16.42578125" customWidth="1"/>
    <col min="9349" max="9349" width="16" bestFit="1" customWidth="1"/>
    <col min="9350" max="9350" width="29.140625" customWidth="1"/>
    <col min="9351" max="9351" width="15.7109375" customWidth="1"/>
    <col min="9352" max="9353" width="6.42578125" customWidth="1"/>
    <col min="9354" max="9354" width="24.5703125" customWidth="1"/>
    <col min="9355" max="9355" width="34.7109375" customWidth="1"/>
    <col min="9356" max="9356" width="16.42578125" customWidth="1"/>
    <col min="9357" max="9357" width="16" bestFit="1" customWidth="1"/>
    <col min="9358" max="9358" width="29.140625" customWidth="1"/>
    <col min="9359" max="9359" width="15.7109375" customWidth="1"/>
    <col min="9360" max="9361" width="6.42578125" customWidth="1"/>
    <col min="9362" max="9362" width="24.5703125" customWidth="1"/>
    <col min="9363" max="9363" width="34.7109375" customWidth="1"/>
    <col min="9364" max="9364" width="16.42578125" customWidth="1"/>
    <col min="9365" max="9365" width="16" bestFit="1" customWidth="1"/>
    <col min="9366" max="9366" width="29.140625" customWidth="1"/>
    <col min="9367" max="9367" width="15.7109375" customWidth="1"/>
    <col min="9368" max="9369" width="6.42578125" customWidth="1"/>
    <col min="9370" max="9370" width="24.5703125" customWidth="1"/>
    <col min="9371" max="9371" width="34.7109375" customWidth="1"/>
    <col min="9372" max="9372" width="16.42578125" customWidth="1"/>
    <col min="9373" max="9373" width="16" bestFit="1" customWidth="1"/>
    <col min="9374" max="9374" width="29.140625" customWidth="1"/>
    <col min="9375" max="9375" width="15.7109375" customWidth="1"/>
    <col min="9376" max="9377" width="6.42578125" customWidth="1"/>
    <col min="9378" max="9378" width="24.5703125" customWidth="1"/>
    <col min="9379" max="9379" width="34.7109375" customWidth="1"/>
    <col min="9380" max="9380" width="16.42578125" customWidth="1"/>
    <col min="9381" max="9381" width="16" bestFit="1" customWidth="1"/>
    <col min="9382" max="9382" width="29.140625" customWidth="1"/>
    <col min="9383" max="9383" width="15.7109375" customWidth="1"/>
    <col min="9384" max="9385" width="6.42578125" customWidth="1"/>
    <col min="9386" max="9386" width="24.5703125" customWidth="1"/>
    <col min="9387" max="9387" width="34.7109375" customWidth="1"/>
    <col min="9388" max="9388" width="16.42578125" customWidth="1"/>
    <col min="9389" max="9389" width="16" bestFit="1" customWidth="1"/>
    <col min="9390" max="9390" width="29.140625" customWidth="1"/>
    <col min="9391" max="9391" width="15.7109375" customWidth="1"/>
    <col min="9392" max="9393" width="6.42578125" customWidth="1"/>
    <col min="9394" max="9394" width="24.5703125" customWidth="1"/>
    <col min="9395" max="9395" width="34.7109375" customWidth="1"/>
    <col min="9396" max="9396" width="16.42578125" customWidth="1"/>
    <col min="9397" max="9397" width="16" bestFit="1" customWidth="1"/>
    <col min="9398" max="9398" width="29.140625" customWidth="1"/>
    <col min="9399" max="9399" width="15.7109375" customWidth="1"/>
    <col min="9400" max="9401" width="6.42578125" customWidth="1"/>
    <col min="9402" max="9402" width="24.5703125" customWidth="1"/>
    <col min="9403" max="9403" width="34.7109375" customWidth="1"/>
    <col min="9404" max="9404" width="16.42578125" customWidth="1"/>
    <col min="9405" max="9405" width="16" bestFit="1" customWidth="1"/>
    <col min="9406" max="9406" width="29.140625" customWidth="1"/>
    <col min="9407" max="9407" width="15.7109375" customWidth="1"/>
    <col min="9408" max="9409" width="6.42578125" customWidth="1"/>
    <col min="9410" max="9410" width="24.5703125" customWidth="1"/>
    <col min="9411" max="9411" width="34.7109375" customWidth="1"/>
    <col min="9412" max="9412" width="16.42578125" customWidth="1"/>
    <col min="9413" max="9413" width="16" bestFit="1" customWidth="1"/>
    <col min="9414" max="9414" width="29.140625" customWidth="1"/>
    <col min="9415" max="9415" width="15.7109375" customWidth="1"/>
    <col min="9416" max="9417" width="6.42578125" customWidth="1"/>
    <col min="9418" max="9418" width="24.5703125" customWidth="1"/>
    <col min="9419" max="9419" width="34.7109375" customWidth="1"/>
    <col min="9420" max="9420" width="16.42578125" customWidth="1"/>
    <col min="9421" max="9421" width="16" bestFit="1" customWidth="1"/>
    <col min="9422" max="9422" width="29.140625" customWidth="1"/>
    <col min="9423" max="9423" width="15.7109375" customWidth="1"/>
    <col min="9424" max="9425" width="6.42578125" customWidth="1"/>
    <col min="9426" max="9426" width="24.5703125" customWidth="1"/>
    <col min="9427" max="9427" width="34.7109375" customWidth="1"/>
    <col min="9428" max="9428" width="16.42578125" customWidth="1"/>
    <col min="9429" max="9429" width="16" bestFit="1" customWidth="1"/>
    <col min="9430" max="9430" width="29.140625" customWidth="1"/>
    <col min="9431" max="9431" width="15.7109375" customWidth="1"/>
    <col min="9432" max="9433" width="6.42578125" customWidth="1"/>
    <col min="9434" max="9434" width="24.5703125" customWidth="1"/>
    <col min="9435" max="9435" width="34.7109375" customWidth="1"/>
    <col min="9436" max="9436" width="16.42578125" customWidth="1"/>
    <col min="9437" max="9437" width="16" bestFit="1" customWidth="1"/>
    <col min="9438" max="9438" width="29.140625" customWidth="1"/>
    <col min="9439" max="9439" width="15.7109375" customWidth="1"/>
    <col min="9440" max="9441" width="6.42578125" customWidth="1"/>
    <col min="9442" max="9442" width="24.5703125" customWidth="1"/>
    <col min="9443" max="9443" width="34.7109375" customWidth="1"/>
    <col min="9444" max="9444" width="16.42578125" customWidth="1"/>
    <col min="9445" max="9445" width="16" bestFit="1" customWidth="1"/>
    <col min="9446" max="9446" width="29.140625" customWidth="1"/>
    <col min="9447" max="9447" width="15.7109375" customWidth="1"/>
    <col min="9448" max="9449" width="6.42578125" customWidth="1"/>
    <col min="9450" max="9450" width="24.5703125" customWidth="1"/>
    <col min="9451" max="9451" width="34.7109375" customWidth="1"/>
    <col min="9452" max="9452" width="16.42578125" customWidth="1"/>
    <col min="9453" max="9453" width="16" bestFit="1" customWidth="1"/>
    <col min="9454" max="9454" width="29.140625" customWidth="1"/>
    <col min="9455" max="9455" width="15.7109375" customWidth="1"/>
    <col min="9456" max="9457" width="6.42578125" customWidth="1"/>
    <col min="9458" max="9458" width="24.5703125" customWidth="1"/>
    <col min="9459" max="9459" width="34.7109375" customWidth="1"/>
    <col min="9460" max="9460" width="16.42578125" customWidth="1"/>
    <col min="9461" max="9461" width="16" bestFit="1" customWidth="1"/>
    <col min="9462" max="9462" width="29.140625" customWidth="1"/>
    <col min="9463" max="9463" width="15.7109375" customWidth="1"/>
    <col min="9464" max="9465" width="6.42578125" customWidth="1"/>
    <col min="9466" max="9466" width="24.5703125" customWidth="1"/>
    <col min="9467" max="9467" width="34.7109375" customWidth="1"/>
    <col min="9468" max="9468" width="16.42578125" customWidth="1"/>
    <col min="9469" max="9469" width="16" bestFit="1" customWidth="1"/>
    <col min="9470" max="9470" width="29.140625" customWidth="1"/>
    <col min="9471" max="9471" width="15.7109375" customWidth="1"/>
    <col min="9472" max="9473" width="6.42578125" customWidth="1"/>
    <col min="9474" max="9474" width="24.5703125" customWidth="1"/>
    <col min="9475" max="9475" width="34.7109375" customWidth="1"/>
    <col min="9476" max="9476" width="16.42578125" customWidth="1"/>
    <col min="9477" max="9477" width="16" bestFit="1" customWidth="1"/>
    <col min="9478" max="9478" width="29.140625" customWidth="1"/>
    <col min="9479" max="9479" width="15.7109375" customWidth="1"/>
    <col min="9480" max="9481" width="6.42578125" customWidth="1"/>
    <col min="9482" max="9482" width="24.5703125" customWidth="1"/>
    <col min="9483" max="9483" width="34.7109375" customWidth="1"/>
    <col min="9484" max="9484" width="16.42578125" customWidth="1"/>
    <col min="9485" max="9485" width="16" bestFit="1" customWidth="1"/>
    <col min="9486" max="9486" width="29.140625" customWidth="1"/>
    <col min="9487" max="9487" width="15.7109375" customWidth="1"/>
    <col min="9488" max="9489" width="6.42578125" customWidth="1"/>
    <col min="9490" max="9490" width="24.5703125" customWidth="1"/>
    <col min="9491" max="9491" width="34.7109375" customWidth="1"/>
    <col min="9492" max="9492" width="16.42578125" customWidth="1"/>
    <col min="9493" max="9493" width="16" bestFit="1" customWidth="1"/>
    <col min="9494" max="9494" width="29.140625" customWidth="1"/>
    <col min="9495" max="9495" width="15.7109375" customWidth="1"/>
    <col min="9496" max="9497" width="6.42578125" customWidth="1"/>
    <col min="9498" max="9498" width="24.5703125" customWidth="1"/>
    <col min="9499" max="9499" width="34.7109375" customWidth="1"/>
    <col min="9500" max="9500" width="16.42578125" customWidth="1"/>
    <col min="9501" max="9501" width="16" bestFit="1" customWidth="1"/>
    <col min="9502" max="9502" width="29.140625" customWidth="1"/>
    <col min="9503" max="9503" width="15.7109375" customWidth="1"/>
    <col min="9504" max="9505" width="6.42578125" customWidth="1"/>
    <col min="9506" max="9506" width="24.5703125" customWidth="1"/>
    <col min="9507" max="9507" width="34.7109375" customWidth="1"/>
    <col min="9508" max="9508" width="16.42578125" customWidth="1"/>
    <col min="9509" max="9509" width="16" bestFit="1" customWidth="1"/>
    <col min="9510" max="9510" width="29.140625" customWidth="1"/>
    <col min="9511" max="9511" width="15.7109375" customWidth="1"/>
    <col min="9512" max="9513" width="6.42578125" customWidth="1"/>
    <col min="9514" max="9514" width="24.5703125" customWidth="1"/>
    <col min="9515" max="9515" width="34.7109375" customWidth="1"/>
    <col min="9516" max="9516" width="16.42578125" customWidth="1"/>
    <col min="9517" max="9517" width="16" bestFit="1" customWidth="1"/>
    <col min="9518" max="9518" width="29.140625" customWidth="1"/>
    <col min="9519" max="9519" width="15.7109375" customWidth="1"/>
    <col min="9520" max="9521" width="6.42578125" customWidth="1"/>
    <col min="9522" max="9522" width="24.5703125" customWidth="1"/>
    <col min="9523" max="9523" width="34.7109375" customWidth="1"/>
    <col min="9524" max="9524" width="16.42578125" customWidth="1"/>
    <col min="9525" max="9525" width="16" bestFit="1" customWidth="1"/>
    <col min="9526" max="9526" width="29.140625" customWidth="1"/>
    <col min="9527" max="9527" width="15.7109375" customWidth="1"/>
    <col min="9528" max="9529" width="6.42578125" customWidth="1"/>
    <col min="9530" max="9530" width="24.5703125" customWidth="1"/>
    <col min="9531" max="9531" width="34.7109375" customWidth="1"/>
    <col min="9532" max="9532" width="16.42578125" customWidth="1"/>
    <col min="9533" max="9533" width="16" bestFit="1" customWidth="1"/>
    <col min="9534" max="9534" width="29.140625" customWidth="1"/>
    <col min="9535" max="9535" width="15.7109375" customWidth="1"/>
    <col min="9536" max="9537" width="6.42578125" customWidth="1"/>
    <col min="9538" max="9538" width="24.5703125" customWidth="1"/>
    <col min="9539" max="9539" width="34.7109375" customWidth="1"/>
    <col min="9540" max="9540" width="16.42578125" customWidth="1"/>
    <col min="9541" max="9541" width="16" bestFit="1" customWidth="1"/>
    <col min="9542" max="9542" width="29.140625" customWidth="1"/>
    <col min="9543" max="9543" width="15.7109375" customWidth="1"/>
    <col min="9544" max="9545" width="6.42578125" customWidth="1"/>
    <col min="9546" max="9546" width="24.5703125" customWidth="1"/>
    <col min="9547" max="9547" width="34.7109375" customWidth="1"/>
    <col min="9548" max="9548" width="16.42578125" customWidth="1"/>
    <col min="9549" max="9549" width="16" bestFit="1" customWidth="1"/>
    <col min="9550" max="9550" width="29.140625" customWidth="1"/>
    <col min="9551" max="9551" width="15.7109375" customWidth="1"/>
    <col min="9552" max="9553" width="6.42578125" customWidth="1"/>
    <col min="9554" max="9554" width="24.5703125" customWidth="1"/>
    <col min="9555" max="9555" width="34.7109375" customWidth="1"/>
    <col min="9556" max="9556" width="16.42578125" customWidth="1"/>
    <col min="9557" max="9557" width="16" bestFit="1" customWidth="1"/>
    <col min="9558" max="9558" width="29.140625" customWidth="1"/>
    <col min="9559" max="9559" width="15.7109375" customWidth="1"/>
    <col min="9560" max="9561" width="6.42578125" customWidth="1"/>
    <col min="9562" max="9562" width="24.5703125" customWidth="1"/>
    <col min="9563" max="9563" width="34.7109375" customWidth="1"/>
    <col min="9564" max="9564" width="16.42578125" customWidth="1"/>
    <col min="9565" max="9565" width="16" bestFit="1" customWidth="1"/>
    <col min="9566" max="9566" width="29.140625" customWidth="1"/>
    <col min="9567" max="9567" width="15.7109375" customWidth="1"/>
    <col min="9568" max="9569" width="6.42578125" customWidth="1"/>
    <col min="9570" max="9570" width="24.5703125" customWidth="1"/>
    <col min="9571" max="9571" width="34.7109375" customWidth="1"/>
    <col min="9572" max="9572" width="16.42578125" customWidth="1"/>
    <col min="9573" max="9573" width="16" bestFit="1" customWidth="1"/>
    <col min="9574" max="9574" width="29.140625" customWidth="1"/>
    <col min="9575" max="9575" width="15.7109375" customWidth="1"/>
    <col min="9576" max="9577" width="6.42578125" customWidth="1"/>
    <col min="9578" max="9578" width="24.5703125" customWidth="1"/>
    <col min="9579" max="9579" width="34.7109375" customWidth="1"/>
    <col min="9580" max="9580" width="16.42578125" customWidth="1"/>
    <col min="9581" max="9581" width="16" bestFit="1" customWidth="1"/>
    <col min="9582" max="9582" width="29.140625" customWidth="1"/>
    <col min="9583" max="9583" width="15.7109375" customWidth="1"/>
    <col min="9584" max="9585" width="6.42578125" customWidth="1"/>
    <col min="9586" max="9586" width="24.5703125" customWidth="1"/>
    <col min="9587" max="9587" width="34.7109375" customWidth="1"/>
    <col min="9588" max="9588" width="16.42578125" customWidth="1"/>
    <col min="9589" max="9589" width="16" bestFit="1" customWidth="1"/>
    <col min="9590" max="9590" width="29.140625" customWidth="1"/>
    <col min="9591" max="9591" width="15.7109375" customWidth="1"/>
    <col min="9592" max="9593" width="6.42578125" customWidth="1"/>
    <col min="9594" max="9594" width="24.5703125" customWidth="1"/>
    <col min="9595" max="9595" width="34.7109375" customWidth="1"/>
    <col min="9596" max="9596" width="16.42578125" customWidth="1"/>
    <col min="9597" max="9597" width="16" bestFit="1" customWidth="1"/>
    <col min="9598" max="9598" width="29.140625" customWidth="1"/>
    <col min="9599" max="9599" width="15.7109375" customWidth="1"/>
    <col min="9600" max="9601" width="6.42578125" customWidth="1"/>
    <col min="9602" max="9602" width="24.5703125" customWidth="1"/>
    <col min="9603" max="9603" width="34.7109375" customWidth="1"/>
    <col min="9604" max="9604" width="16.42578125" customWidth="1"/>
    <col min="9605" max="9605" width="16" bestFit="1" customWidth="1"/>
    <col min="9606" max="9606" width="29.140625" customWidth="1"/>
    <col min="9607" max="9607" width="15.7109375" customWidth="1"/>
    <col min="9608" max="9609" width="6.42578125" customWidth="1"/>
    <col min="9610" max="9610" width="24.5703125" customWidth="1"/>
    <col min="9611" max="9611" width="34.7109375" customWidth="1"/>
    <col min="9612" max="9612" width="16.42578125" customWidth="1"/>
    <col min="9613" max="9613" width="16" bestFit="1" customWidth="1"/>
    <col min="9614" max="9614" width="29.140625" customWidth="1"/>
    <col min="9615" max="9615" width="15.7109375" customWidth="1"/>
    <col min="9616" max="9617" width="6.42578125" customWidth="1"/>
    <col min="9618" max="9618" width="24.5703125" customWidth="1"/>
    <col min="9619" max="9619" width="34.7109375" customWidth="1"/>
    <col min="9620" max="9620" width="16.42578125" customWidth="1"/>
    <col min="9621" max="9621" width="16" bestFit="1" customWidth="1"/>
    <col min="9622" max="9622" width="29.140625" customWidth="1"/>
    <col min="9623" max="9623" width="15.7109375" customWidth="1"/>
    <col min="9624" max="9625" width="6.42578125" customWidth="1"/>
    <col min="9626" max="9626" width="24.5703125" customWidth="1"/>
    <col min="9627" max="9627" width="34.7109375" customWidth="1"/>
    <col min="9628" max="9628" width="16.42578125" customWidth="1"/>
    <col min="9629" max="9629" width="16" bestFit="1" customWidth="1"/>
    <col min="9630" max="9630" width="29.140625" customWidth="1"/>
    <col min="9631" max="9631" width="15.7109375" customWidth="1"/>
    <col min="9632" max="9633" width="6.42578125" customWidth="1"/>
    <col min="9634" max="9634" width="24.5703125" customWidth="1"/>
    <col min="9635" max="9635" width="34.7109375" customWidth="1"/>
    <col min="9636" max="9636" width="16.42578125" customWidth="1"/>
    <col min="9637" max="9637" width="16" bestFit="1" customWidth="1"/>
    <col min="9638" max="9638" width="29.140625" customWidth="1"/>
    <col min="9639" max="9639" width="15.7109375" customWidth="1"/>
    <col min="9640" max="9641" width="6.42578125" customWidth="1"/>
    <col min="9642" max="9642" width="24.5703125" customWidth="1"/>
    <col min="9643" max="9643" width="34.7109375" customWidth="1"/>
    <col min="9644" max="9644" width="16.42578125" customWidth="1"/>
    <col min="9645" max="9645" width="16" bestFit="1" customWidth="1"/>
    <col min="9646" max="9646" width="29.140625" customWidth="1"/>
    <col min="9647" max="9647" width="15.7109375" customWidth="1"/>
    <col min="9648" max="9649" width="6.42578125" customWidth="1"/>
    <col min="9650" max="9650" width="24.5703125" customWidth="1"/>
    <col min="9651" max="9651" width="34.7109375" customWidth="1"/>
    <col min="9652" max="9652" width="16.42578125" customWidth="1"/>
    <col min="9653" max="9653" width="16" bestFit="1" customWidth="1"/>
    <col min="9654" max="9654" width="29.140625" customWidth="1"/>
    <col min="9655" max="9655" width="15.7109375" customWidth="1"/>
    <col min="9656" max="9657" width="6.42578125" customWidth="1"/>
    <col min="9658" max="9658" width="24.5703125" customWidth="1"/>
    <col min="9659" max="9659" width="34.7109375" customWidth="1"/>
    <col min="9660" max="9660" width="16.42578125" customWidth="1"/>
    <col min="9661" max="9661" width="16" bestFit="1" customWidth="1"/>
    <col min="9662" max="9662" width="29.140625" customWidth="1"/>
    <col min="9663" max="9663" width="15.7109375" customWidth="1"/>
    <col min="9664" max="9665" width="6.42578125" customWidth="1"/>
    <col min="9666" max="9666" width="24.5703125" customWidth="1"/>
    <col min="9667" max="9667" width="34.7109375" customWidth="1"/>
    <col min="9668" max="9668" width="16.42578125" customWidth="1"/>
    <col min="9669" max="9669" width="16" bestFit="1" customWidth="1"/>
    <col min="9670" max="9670" width="29.140625" customWidth="1"/>
    <col min="9671" max="9671" width="15.7109375" customWidth="1"/>
    <col min="9672" max="9673" width="6.42578125" customWidth="1"/>
    <col min="9674" max="9674" width="24.5703125" customWidth="1"/>
    <col min="9675" max="9675" width="34.7109375" customWidth="1"/>
    <col min="9676" max="9676" width="16.42578125" customWidth="1"/>
    <col min="9677" max="9677" width="16" bestFit="1" customWidth="1"/>
    <col min="9678" max="9678" width="29.140625" customWidth="1"/>
    <col min="9679" max="9679" width="15.7109375" customWidth="1"/>
    <col min="9680" max="9681" width="6.42578125" customWidth="1"/>
    <col min="9682" max="9682" width="24.5703125" customWidth="1"/>
    <col min="9683" max="9683" width="34.7109375" customWidth="1"/>
    <col min="9684" max="9684" width="16.42578125" customWidth="1"/>
    <col min="9685" max="9685" width="16" bestFit="1" customWidth="1"/>
    <col min="9686" max="9686" width="29.140625" customWidth="1"/>
    <col min="9687" max="9687" width="15.7109375" customWidth="1"/>
    <col min="9688" max="9689" width="6.42578125" customWidth="1"/>
    <col min="9690" max="9690" width="24.5703125" customWidth="1"/>
    <col min="9691" max="9691" width="34.7109375" customWidth="1"/>
    <col min="9692" max="9692" width="16.42578125" customWidth="1"/>
    <col min="9693" max="9693" width="16" bestFit="1" customWidth="1"/>
    <col min="9694" max="9694" width="29.140625" customWidth="1"/>
    <col min="9695" max="9695" width="15.7109375" customWidth="1"/>
    <col min="9696" max="9697" width="6.42578125" customWidth="1"/>
    <col min="9698" max="9698" width="24.5703125" customWidth="1"/>
    <col min="9699" max="9699" width="34.7109375" customWidth="1"/>
    <col min="9700" max="9700" width="16.42578125" customWidth="1"/>
    <col min="9701" max="9701" width="16" bestFit="1" customWidth="1"/>
    <col min="9702" max="9702" width="29.140625" customWidth="1"/>
    <col min="9703" max="9703" width="15.7109375" customWidth="1"/>
    <col min="9704" max="9705" width="6.42578125" customWidth="1"/>
    <col min="9706" max="9706" width="24.5703125" customWidth="1"/>
    <col min="9707" max="9707" width="34.7109375" customWidth="1"/>
    <col min="9708" max="9708" width="16.42578125" customWidth="1"/>
    <col min="9709" max="9709" width="16" bestFit="1" customWidth="1"/>
    <col min="9710" max="9710" width="29.140625" customWidth="1"/>
    <col min="9711" max="9711" width="15.7109375" customWidth="1"/>
    <col min="9712" max="9713" width="6.42578125" customWidth="1"/>
    <col min="9714" max="9714" width="24.5703125" customWidth="1"/>
    <col min="9715" max="9715" width="34.7109375" customWidth="1"/>
    <col min="9716" max="9716" width="16.42578125" customWidth="1"/>
    <col min="9717" max="9717" width="16" bestFit="1" customWidth="1"/>
    <col min="9718" max="9718" width="29.140625" customWidth="1"/>
    <col min="9719" max="9719" width="15.7109375" customWidth="1"/>
    <col min="9720" max="9721" width="6.42578125" customWidth="1"/>
    <col min="9722" max="9722" width="24.5703125" customWidth="1"/>
    <col min="9723" max="9723" width="34.7109375" customWidth="1"/>
    <col min="9724" max="9724" width="16.42578125" customWidth="1"/>
    <col min="9725" max="9725" width="16" bestFit="1" customWidth="1"/>
    <col min="9726" max="9726" width="29.140625" customWidth="1"/>
    <col min="9727" max="9727" width="15.7109375" customWidth="1"/>
    <col min="9728" max="9729" width="6.42578125" customWidth="1"/>
    <col min="9730" max="9730" width="24.5703125" customWidth="1"/>
    <col min="9731" max="9731" width="34.7109375" customWidth="1"/>
    <col min="9732" max="9732" width="16.42578125" customWidth="1"/>
    <col min="9733" max="9733" width="16" bestFit="1" customWidth="1"/>
    <col min="9734" max="9734" width="29.140625" customWidth="1"/>
    <col min="9735" max="9735" width="15.7109375" customWidth="1"/>
    <col min="9736" max="9737" width="6.42578125" customWidth="1"/>
    <col min="9738" max="9738" width="24.5703125" customWidth="1"/>
    <col min="9739" max="9739" width="34.7109375" customWidth="1"/>
    <col min="9740" max="9740" width="16.42578125" customWidth="1"/>
    <col min="9741" max="9741" width="16" bestFit="1" customWidth="1"/>
    <col min="9742" max="9742" width="29.140625" customWidth="1"/>
    <col min="9743" max="9743" width="15.7109375" customWidth="1"/>
    <col min="9744" max="9745" width="6.42578125" customWidth="1"/>
    <col min="9746" max="9746" width="24.5703125" customWidth="1"/>
    <col min="9747" max="9747" width="34.7109375" customWidth="1"/>
    <col min="9748" max="9748" width="16.42578125" customWidth="1"/>
    <col min="9749" max="9749" width="16" bestFit="1" customWidth="1"/>
    <col min="9750" max="9750" width="29.140625" customWidth="1"/>
    <col min="9751" max="9751" width="15.7109375" customWidth="1"/>
    <col min="9752" max="9753" width="6.42578125" customWidth="1"/>
    <col min="9754" max="9754" width="24.5703125" customWidth="1"/>
    <col min="9755" max="9755" width="34.7109375" customWidth="1"/>
    <col min="9756" max="9756" width="16.42578125" customWidth="1"/>
    <col min="9757" max="9757" width="16" bestFit="1" customWidth="1"/>
    <col min="9758" max="9758" width="29.140625" customWidth="1"/>
    <col min="9759" max="9759" width="15.7109375" customWidth="1"/>
    <col min="9760" max="9761" width="6.42578125" customWidth="1"/>
    <col min="9762" max="9762" width="24.5703125" customWidth="1"/>
    <col min="9763" max="9763" width="34.7109375" customWidth="1"/>
    <col min="9764" max="9764" width="16.42578125" customWidth="1"/>
    <col min="9765" max="9765" width="16" bestFit="1" customWidth="1"/>
    <col min="9766" max="9766" width="29.140625" customWidth="1"/>
    <col min="9767" max="9767" width="15.7109375" customWidth="1"/>
    <col min="9768" max="9769" width="6.42578125" customWidth="1"/>
    <col min="9770" max="9770" width="24.5703125" customWidth="1"/>
    <col min="9771" max="9771" width="34.7109375" customWidth="1"/>
    <col min="9772" max="9772" width="16.42578125" customWidth="1"/>
    <col min="9773" max="9773" width="16" bestFit="1" customWidth="1"/>
    <col min="9774" max="9774" width="29.140625" customWidth="1"/>
    <col min="9775" max="9775" width="15.7109375" customWidth="1"/>
    <col min="9776" max="9777" width="6.42578125" customWidth="1"/>
    <col min="9778" max="9778" width="24.5703125" customWidth="1"/>
    <col min="9779" max="9779" width="34.7109375" customWidth="1"/>
    <col min="9780" max="9780" width="16.42578125" customWidth="1"/>
    <col min="9781" max="9781" width="16" bestFit="1" customWidth="1"/>
    <col min="9782" max="9782" width="29.140625" customWidth="1"/>
    <col min="9783" max="9783" width="15.7109375" customWidth="1"/>
    <col min="9784" max="9785" width="6.42578125" customWidth="1"/>
    <col min="9786" max="9786" width="24.5703125" customWidth="1"/>
    <col min="9787" max="9787" width="34.7109375" customWidth="1"/>
    <col min="9788" max="9788" width="16.42578125" customWidth="1"/>
    <col min="9789" max="9789" width="16" bestFit="1" customWidth="1"/>
    <col min="9790" max="9790" width="29.140625" customWidth="1"/>
    <col min="9791" max="9791" width="15.7109375" customWidth="1"/>
    <col min="9792" max="9793" width="6.42578125" customWidth="1"/>
    <col min="9794" max="9794" width="24.5703125" customWidth="1"/>
    <col min="9795" max="9795" width="34.7109375" customWidth="1"/>
    <col min="9796" max="9796" width="16.42578125" customWidth="1"/>
    <col min="9797" max="9797" width="16" bestFit="1" customWidth="1"/>
    <col min="9798" max="9798" width="29.140625" customWidth="1"/>
    <col min="9799" max="9799" width="15.7109375" customWidth="1"/>
    <col min="9800" max="9801" width="6.42578125" customWidth="1"/>
    <col min="9802" max="9802" width="24.5703125" customWidth="1"/>
    <col min="9803" max="9803" width="34.7109375" customWidth="1"/>
    <col min="9804" max="9804" width="16.42578125" customWidth="1"/>
    <col min="9805" max="9805" width="16" bestFit="1" customWidth="1"/>
    <col min="9806" max="9806" width="29.140625" customWidth="1"/>
    <col min="9807" max="9807" width="15.7109375" customWidth="1"/>
    <col min="9808" max="9809" width="6.42578125" customWidth="1"/>
    <col min="9810" max="9810" width="24.5703125" customWidth="1"/>
    <col min="9811" max="9811" width="34.7109375" customWidth="1"/>
    <col min="9812" max="9812" width="16.42578125" customWidth="1"/>
    <col min="9813" max="9813" width="16" bestFit="1" customWidth="1"/>
    <col min="9814" max="9814" width="29.140625" customWidth="1"/>
    <col min="9815" max="9815" width="15.7109375" customWidth="1"/>
    <col min="9816" max="9817" width="6.42578125" customWidth="1"/>
    <col min="9818" max="9818" width="24.5703125" customWidth="1"/>
    <col min="9819" max="9819" width="34.7109375" customWidth="1"/>
    <col min="9820" max="9820" width="16.42578125" customWidth="1"/>
    <col min="9821" max="9821" width="16" bestFit="1" customWidth="1"/>
    <col min="9822" max="9822" width="29.140625" customWidth="1"/>
    <col min="9823" max="9823" width="15.7109375" customWidth="1"/>
    <col min="9824" max="9825" width="6.42578125" customWidth="1"/>
    <col min="9826" max="9826" width="24.5703125" customWidth="1"/>
    <col min="9827" max="9827" width="34.7109375" customWidth="1"/>
    <col min="9828" max="9828" width="16.42578125" customWidth="1"/>
    <col min="9829" max="9829" width="16" bestFit="1" customWidth="1"/>
    <col min="9830" max="9830" width="29.140625" customWidth="1"/>
    <col min="9831" max="9831" width="15.7109375" customWidth="1"/>
    <col min="9832" max="9833" width="6.42578125" customWidth="1"/>
    <col min="9834" max="9834" width="24.5703125" customWidth="1"/>
    <col min="9835" max="9835" width="34.7109375" customWidth="1"/>
    <col min="9836" max="9836" width="16.42578125" customWidth="1"/>
    <col min="9837" max="9837" width="16" bestFit="1" customWidth="1"/>
    <col min="9838" max="9838" width="29.140625" customWidth="1"/>
    <col min="9839" max="9839" width="15.7109375" customWidth="1"/>
    <col min="9840" max="9841" width="6.42578125" customWidth="1"/>
    <col min="9842" max="9842" width="24.5703125" customWidth="1"/>
    <col min="9843" max="9843" width="34.7109375" customWidth="1"/>
    <col min="9844" max="9844" width="16.42578125" customWidth="1"/>
    <col min="9845" max="9845" width="16" bestFit="1" customWidth="1"/>
    <col min="9846" max="9846" width="29.140625" customWidth="1"/>
    <col min="9847" max="9847" width="15.7109375" customWidth="1"/>
    <col min="9848" max="9849" width="6.42578125" customWidth="1"/>
    <col min="9850" max="9850" width="24.5703125" customWidth="1"/>
    <col min="9851" max="9851" width="34.7109375" customWidth="1"/>
    <col min="9852" max="9852" width="16.42578125" customWidth="1"/>
    <col min="9853" max="9853" width="16" bestFit="1" customWidth="1"/>
    <col min="9854" max="9854" width="29.140625" customWidth="1"/>
    <col min="9855" max="9855" width="15.7109375" customWidth="1"/>
    <col min="9856" max="9857" width="6.42578125" customWidth="1"/>
    <col min="9858" max="9858" width="24.5703125" customWidth="1"/>
    <col min="9859" max="9859" width="34.7109375" customWidth="1"/>
    <col min="9860" max="9860" width="16.42578125" customWidth="1"/>
    <col min="9861" max="9861" width="16" bestFit="1" customWidth="1"/>
    <col min="9862" max="9862" width="29.140625" customWidth="1"/>
    <col min="9863" max="9863" width="15.7109375" customWidth="1"/>
    <col min="9864" max="9865" width="6.42578125" customWidth="1"/>
    <col min="9866" max="9866" width="24.5703125" customWidth="1"/>
    <col min="9867" max="9867" width="34.7109375" customWidth="1"/>
    <col min="9868" max="9868" width="16.42578125" customWidth="1"/>
    <col min="9869" max="9869" width="16" bestFit="1" customWidth="1"/>
    <col min="9870" max="9870" width="29.140625" customWidth="1"/>
    <col min="9871" max="9871" width="15.7109375" customWidth="1"/>
    <col min="9872" max="9873" width="6.42578125" customWidth="1"/>
    <col min="9874" max="9874" width="24.5703125" customWidth="1"/>
    <col min="9875" max="9875" width="34.7109375" customWidth="1"/>
    <col min="9876" max="9876" width="16.42578125" customWidth="1"/>
    <col min="9877" max="9877" width="16" bestFit="1" customWidth="1"/>
    <col min="9878" max="9878" width="29.140625" customWidth="1"/>
    <col min="9879" max="9879" width="15.7109375" customWidth="1"/>
    <col min="9880" max="9881" width="6.42578125" customWidth="1"/>
    <col min="9882" max="9882" width="24.5703125" customWidth="1"/>
    <col min="9883" max="9883" width="34.7109375" customWidth="1"/>
    <col min="9884" max="9884" width="16.42578125" customWidth="1"/>
    <col min="9885" max="9885" width="16" bestFit="1" customWidth="1"/>
    <col min="9886" max="9886" width="29.140625" customWidth="1"/>
    <col min="9887" max="9887" width="15.7109375" customWidth="1"/>
    <col min="9888" max="9889" width="6.42578125" customWidth="1"/>
    <col min="9890" max="9890" width="24.5703125" customWidth="1"/>
    <col min="9891" max="9891" width="34.7109375" customWidth="1"/>
    <col min="9892" max="9892" width="16.42578125" customWidth="1"/>
    <col min="9893" max="9893" width="16" bestFit="1" customWidth="1"/>
    <col min="9894" max="9894" width="29.140625" customWidth="1"/>
    <col min="9895" max="9895" width="15.7109375" customWidth="1"/>
    <col min="9896" max="9897" width="6.42578125" customWidth="1"/>
    <col min="9898" max="9898" width="24.5703125" customWidth="1"/>
    <col min="9899" max="9899" width="34.7109375" customWidth="1"/>
    <col min="9900" max="9900" width="16.42578125" customWidth="1"/>
    <col min="9901" max="9901" width="16" bestFit="1" customWidth="1"/>
    <col min="9902" max="9902" width="29.140625" customWidth="1"/>
    <col min="9903" max="9903" width="15.7109375" customWidth="1"/>
    <col min="9904" max="9905" width="6.42578125" customWidth="1"/>
    <col min="9906" max="9906" width="24.5703125" customWidth="1"/>
    <col min="9907" max="9907" width="34.7109375" customWidth="1"/>
    <col min="9908" max="9908" width="16.42578125" customWidth="1"/>
    <col min="9909" max="9909" width="16" bestFit="1" customWidth="1"/>
    <col min="9910" max="9910" width="29.140625" customWidth="1"/>
    <col min="9911" max="9911" width="15.7109375" customWidth="1"/>
    <col min="9912" max="9913" width="6.42578125" customWidth="1"/>
    <col min="9914" max="9914" width="24.5703125" customWidth="1"/>
    <col min="9915" max="9915" width="34.7109375" customWidth="1"/>
    <col min="9916" max="9916" width="16.42578125" customWidth="1"/>
    <col min="9917" max="9917" width="16" bestFit="1" customWidth="1"/>
    <col min="9918" max="9918" width="29.140625" customWidth="1"/>
    <col min="9919" max="9919" width="15.7109375" customWidth="1"/>
    <col min="9920" max="9921" width="6.42578125" customWidth="1"/>
    <col min="9922" max="9922" width="24.5703125" customWidth="1"/>
    <col min="9923" max="9923" width="34.7109375" customWidth="1"/>
    <col min="9924" max="9924" width="16.42578125" customWidth="1"/>
    <col min="9925" max="9925" width="16" bestFit="1" customWidth="1"/>
    <col min="9926" max="9926" width="29.140625" customWidth="1"/>
    <col min="9927" max="9927" width="15.7109375" customWidth="1"/>
    <col min="9928" max="9929" width="6.42578125" customWidth="1"/>
    <col min="9930" max="9930" width="24.5703125" customWidth="1"/>
    <col min="9931" max="9931" width="34.7109375" customWidth="1"/>
    <col min="9932" max="9932" width="16.42578125" customWidth="1"/>
    <col min="9933" max="9933" width="16" bestFit="1" customWidth="1"/>
    <col min="9934" max="9934" width="29.140625" customWidth="1"/>
    <col min="9935" max="9935" width="15.7109375" customWidth="1"/>
    <col min="9936" max="9937" width="6.42578125" customWidth="1"/>
    <col min="9938" max="9938" width="24.5703125" customWidth="1"/>
    <col min="9939" max="9939" width="34.7109375" customWidth="1"/>
    <col min="9940" max="9940" width="16.42578125" customWidth="1"/>
    <col min="9941" max="9941" width="16" bestFit="1" customWidth="1"/>
    <col min="9942" max="9942" width="29.140625" customWidth="1"/>
    <col min="9943" max="9943" width="15.7109375" customWidth="1"/>
    <col min="9944" max="9945" width="6.42578125" customWidth="1"/>
    <col min="9946" max="9946" width="24.5703125" customWidth="1"/>
    <col min="9947" max="9947" width="34.7109375" customWidth="1"/>
    <col min="9948" max="9948" width="16.42578125" customWidth="1"/>
    <col min="9949" max="9949" width="16" bestFit="1" customWidth="1"/>
    <col min="9950" max="9950" width="29.140625" customWidth="1"/>
    <col min="9951" max="9951" width="15.7109375" customWidth="1"/>
    <col min="9952" max="9953" width="6.42578125" customWidth="1"/>
    <col min="9954" max="9954" width="24.5703125" customWidth="1"/>
    <col min="9955" max="9955" width="34.7109375" customWidth="1"/>
    <col min="9956" max="9956" width="16.42578125" customWidth="1"/>
    <col min="9957" max="9957" width="16" bestFit="1" customWidth="1"/>
    <col min="9958" max="9958" width="29.140625" customWidth="1"/>
    <col min="9959" max="9959" width="15.7109375" customWidth="1"/>
    <col min="9960" max="9961" width="6.42578125" customWidth="1"/>
    <col min="9962" max="9962" width="24.5703125" customWidth="1"/>
    <col min="9963" max="9963" width="34.7109375" customWidth="1"/>
    <col min="9964" max="9964" width="16.42578125" customWidth="1"/>
    <col min="9965" max="9965" width="16" bestFit="1" customWidth="1"/>
    <col min="9966" max="9966" width="29.140625" customWidth="1"/>
    <col min="9967" max="9967" width="15.7109375" customWidth="1"/>
    <col min="9968" max="9969" width="6.42578125" customWidth="1"/>
    <col min="9970" max="9970" width="24.5703125" customWidth="1"/>
    <col min="9971" max="9971" width="34.7109375" customWidth="1"/>
    <col min="9972" max="9972" width="16.42578125" customWidth="1"/>
    <col min="9973" max="9973" width="16" bestFit="1" customWidth="1"/>
    <col min="9974" max="9974" width="29.140625" customWidth="1"/>
    <col min="9975" max="9975" width="15.7109375" customWidth="1"/>
    <col min="9976" max="9977" width="6.42578125" customWidth="1"/>
    <col min="9978" max="9978" width="24.5703125" customWidth="1"/>
    <col min="9979" max="9979" width="34.7109375" customWidth="1"/>
    <col min="9980" max="9980" width="16.42578125" customWidth="1"/>
    <col min="9981" max="9981" width="16" bestFit="1" customWidth="1"/>
    <col min="9982" max="9982" width="29.140625" customWidth="1"/>
    <col min="9983" max="9983" width="15.7109375" customWidth="1"/>
    <col min="9984" max="9985" width="6.42578125" customWidth="1"/>
    <col min="9986" max="9986" width="24.5703125" customWidth="1"/>
    <col min="9987" max="9987" width="34.7109375" customWidth="1"/>
    <col min="9988" max="9988" width="16.42578125" customWidth="1"/>
    <col min="9989" max="9989" width="16" bestFit="1" customWidth="1"/>
    <col min="9990" max="9990" width="29.140625" customWidth="1"/>
    <col min="9991" max="9991" width="15.7109375" customWidth="1"/>
    <col min="9992" max="9993" width="6.42578125" customWidth="1"/>
    <col min="9994" max="9994" width="24.5703125" customWidth="1"/>
    <col min="9995" max="9995" width="34.7109375" customWidth="1"/>
    <col min="9996" max="9996" width="16.42578125" customWidth="1"/>
    <col min="9997" max="9997" width="16" bestFit="1" customWidth="1"/>
    <col min="9998" max="9998" width="29.140625" customWidth="1"/>
    <col min="9999" max="9999" width="15.7109375" customWidth="1"/>
    <col min="10000" max="10001" width="6.42578125" customWidth="1"/>
    <col min="10002" max="10002" width="24.5703125" customWidth="1"/>
    <col min="10003" max="10003" width="34.7109375" customWidth="1"/>
    <col min="10004" max="10004" width="16.42578125" customWidth="1"/>
    <col min="10005" max="10005" width="16" bestFit="1" customWidth="1"/>
    <col min="10006" max="10006" width="29.140625" customWidth="1"/>
    <col min="10007" max="10007" width="15.7109375" customWidth="1"/>
    <col min="10008" max="10009" width="6.42578125" customWidth="1"/>
    <col min="10010" max="10010" width="24.5703125" customWidth="1"/>
    <col min="10011" max="10011" width="34.7109375" customWidth="1"/>
    <col min="10012" max="10012" width="16.42578125" customWidth="1"/>
    <col min="10013" max="10013" width="16" bestFit="1" customWidth="1"/>
    <col min="10014" max="10014" width="29.140625" customWidth="1"/>
    <col min="10015" max="10015" width="15.7109375" customWidth="1"/>
    <col min="10016" max="10017" width="6.42578125" customWidth="1"/>
    <col min="10018" max="10018" width="24.5703125" customWidth="1"/>
    <col min="10019" max="10019" width="34.7109375" customWidth="1"/>
    <col min="10020" max="10020" width="16.42578125" customWidth="1"/>
    <col min="10021" max="10021" width="16" bestFit="1" customWidth="1"/>
    <col min="10022" max="10022" width="29.140625" customWidth="1"/>
    <col min="10023" max="10023" width="15.7109375" customWidth="1"/>
    <col min="10024" max="10025" width="6.42578125" customWidth="1"/>
    <col min="10026" max="10026" width="24.5703125" customWidth="1"/>
    <col min="10027" max="10027" width="34.7109375" customWidth="1"/>
    <col min="10028" max="10028" width="16.42578125" customWidth="1"/>
    <col min="10029" max="10029" width="16" bestFit="1" customWidth="1"/>
    <col min="10030" max="10030" width="29.140625" customWidth="1"/>
    <col min="10031" max="10031" width="15.7109375" customWidth="1"/>
    <col min="10032" max="10033" width="6.42578125" customWidth="1"/>
    <col min="10034" max="10034" width="24.5703125" customWidth="1"/>
    <col min="10035" max="10035" width="34.7109375" customWidth="1"/>
    <col min="10036" max="10036" width="16.42578125" customWidth="1"/>
    <col min="10037" max="10037" width="16" bestFit="1" customWidth="1"/>
    <col min="10038" max="10038" width="29.140625" customWidth="1"/>
    <col min="10039" max="10039" width="15.7109375" customWidth="1"/>
    <col min="10040" max="10041" width="6.42578125" customWidth="1"/>
    <col min="10042" max="10042" width="24.5703125" customWidth="1"/>
    <col min="10043" max="10043" width="34.7109375" customWidth="1"/>
    <col min="10044" max="10044" width="16.42578125" customWidth="1"/>
    <col min="10045" max="10045" width="16" bestFit="1" customWidth="1"/>
    <col min="10046" max="10046" width="29.140625" customWidth="1"/>
    <col min="10047" max="10047" width="15.7109375" customWidth="1"/>
    <col min="10048" max="10049" width="6.42578125" customWidth="1"/>
    <col min="10050" max="10050" width="24.5703125" customWidth="1"/>
    <col min="10051" max="10051" width="34.7109375" customWidth="1"/>
    <col min="10052" max="10052" width="16.42578125" customWidth="1"/>
    <col min="10053" max="10053" width="16" bestFit="1" customWidth="1"/>
    <col min="10054" max="10054" width="29.140625" customWidth="1"/>
    <col min="10055" max="10055" width="15.7109375" customWidth="1"/>
    <col min="10056" max="10057" width="6.42578125" customWidth="1"/>
    <col min="10058" max="10058" width="24.5703125" customWidth="1"/>
    <col min="10059" max="10059" width="34.7109375" customWidth="1"/>
    <col min="10060" max="10060" width="16.42578125" customWidth="1"/>
    <col min="10061" max="10061" width="16" bestFit="1" customWidth="1"/>
    <col min="10062" max="10062" width="29.140625" customWidth="1"/>
    <col min="10063" max="10063" width="15.7109375" customWidth="1"/>
    <col min="10064" max="10065" width="6.42578125" customWidth="1"/>
    <col min="10066" max="10066" width="24.5703125" customWidth="1"/>
    <col min="10067" max="10067" width="34.7109375" customWidth="1"/>
    <col min="10068" max="10068" width="16.42578125" customWidth="1"/>
    <col min="10069" max="10069" width="16" bestFit="1" customWidth="1"/>
    <col min="10070" max="10070" width="29.140625" customWidth="1"/>
    <col min="10071" max="10071" width="15.7109375" customWidth="1"/>
    <col min="10072" max="10073" width="6.42578125" customWidth="1"/>
    <col min="10074" max="10074" width="24.5703125" customWidth="1"/>
    <col min="10075" max="10075" width="34.7109375" customWidth="1"/>
    <col min="10076" max="10076" width="16.42578125" customWidth="1"/>
    <col min="10077" max="10077" width="16" bestFit="1" customWidth="1"/>
    <col min="10078" max="10078" width="29.140625" customWidth="1"/>
    <col min="10079" max="10079" width="15.7109375" customWidth="1"/>
    <col min="10080" max="10081" width="6.42578125" customWidth="1"/>
    <col min="10082" max="10082" width="24.5703125" customWidth="1"/>
    <col min="10083" max="10083" width="34.7109375" customWidth="1"/>
    <col min="10084" max="10084" width="16.42578125" customWidth="1"/>
    <col min="10085" max="10085" width="16" bestFit="1" customWidth="1"/>
    <col min="10086" max="10086" width="29.140625" customWidth="1"/>
    <col min="10087" max="10087" width="15.7109375" customWidth="1"/>
    <col min="10088" max="10089" width="6.42578125" customWidth="1"/>
    <col min="10090" max="10090" width="24.5703125" customWidth="1"/>
    <col min="10091" max="10091" width="34.7109375" customWidth="1"/>
    <col min="10092" max="10092" width="16.42578125" customWidth="1"/>
    <col min="10093" max="10093" width="16" bestFit="1" customWidth="1"/>
    <col min="10094" max="10094" width="29.140625" customWidth="1"/>
    <col min="10095" max="10095" width="15.7109375" customWidth="1"/>
    <col min="10096" max="10097" width="6.42578125" customWidth="1"/>
    <col min="10098" max="10098" width="24.5703125" customWidth="1"/>
    <col min="10099" max="10099" width="34.7109375" customWidth="1"/>
    <col min="10100" max="10100" width="16.42578125" customWidth="1"/>
    <col min="10101" max="10101" width="16" bestFit="1" customWidth="1"/>
    <col min="10102" max="10102" width="29.140625" customWidth="1"/>
    <col min="10103" max="10103" width="15.7109375" customWidth="1"/>
    <col min="10104" max="10105" width="6.42578125" customWidth="1"/>
    <col min="10106" max="10106" width="24.5703125" customWidth="1"/>
    <col min="10107" max="10107" width="34.7109375" customWidth="1"/>
    <col min="10108" max="10108" width="16.42578125" customWidth="1"/>
    <col min="10109" max="10109" width="16" bestFit="1" customWidth="1"/>
    <col min="10110" max="10110" width="29.140625" customWidth="1"/>
    <col min="10111" max="10111" width="15.7109375" customWidth="1"/>
    <col min="10112" max="10113" width="6.42578125" customWidth="1"/>
    <col min="10114" max="10114" width="24.5703125" customWidth="1"/>
    <col min="10115" max="10115" width="34.7109375" customWidth="1"/>
    <col min="10116" max="10116" width="16.42578125" customWidth="1"/>
    <col min="10117" max="10117" width="16" bestFit="1" customWidth="1"/>
    <col min="10118" max="10118" width="29.140625" customWidth="1"/>
    <col min="10119" max="10119" width="15.7109375" customWidth="1"/>
    <col min="10120" max="10121" width="6.42578125" customWidth="1"/>
    <col min="10122" max="10122" width="24.5703125" customWidth="1"/>
    <col min="10123" max="10123" width="34.7109375" customWidth="1"/>
    <col min="10124" max="10124" width="16.42578125" customWidth="1"/>
    <col min="10125" max="10125" width="16" bestFit="1" customWidth="1"/>
    <col min="10126" max="10126" width="29.140625" customWidth="1"/>
    <col min="10127" max="10127" width="15.7109375" customWidth="1"/>
    <col min="10128" max="10129" width="6.42578125" customWidth="1"/>
    <col min="10130" max="10130" width="24.5703125" customWidth="1"/>
    <col min="10131" max="10131" width="34.7109375" customWidth="1"/>
    <col min="10132" max="10132" width="16.42578125" customWidth="1"/>
    <col min="10133" max="10133" width="16" bestFit="1" customWidth="1"/>
    <col min="10134" max="10134" width="29.140625" customWidth="1"/>
    <col min="10135" max="10135" width="15.7109375" customWidth="1"/>
    <col min="10136" max="10137" width="6.42578125" customWidth="1"/>
    <col min="10138" max="10138" width="24.5703125" customWidth="1"/>
    <col min="10139" max="10139" width="34.7109375" customWidth="1"/>
    <col min="10140" max="10140" width="16.42578125" customWidth="1"/>
    <col min="10141" max="10141" width="16" bestFit="1" customWidth="1"/>
    <col min="10142" max="10142" width="29.140625" customWidth="1"/>
    <col min="10143" max="10143" width="15.7109375" customWidth="1"/>
    <col min="10144" max="10145" width="6.42578125" customWidth="1"/>
    <col min="10146" max="10146" width="24.5703125" customWidth="1"/>
    <col min="10147" max="10147" width="34.7109375" customWidth="1"/>
    <col min="10148" max="10148" width="16.42578125" customWidth="1"/>
    <col min="10149" max="10149" width="16" bestFit="1" customWidth="1"/>
    <col min="10150" max="10150" width="29.140625" customWidth="1"/>
    <col min="10151" max="10151" width="15.7109375" customWidth="1"/>
    <col min="10152" max="10153" width="6.42578125" customWidth="1"/>
    <col min="10154" max="10154" width="24.5703125" customWidth="1"/>
    <col min="10155" max="10155" width="34.7109375" customWidth="1"/>
    <col min="10156" max="10156" width="16.42578125" customWidth="1"/>
    <col min="10157" max="10157" width="16" bestFit="1" customWidth="1"/>
    <col min="10158" max="10158" width="29.140625" customWidth="1"/>
    <col min="10159" max="10159" width="15.7109375" customWidth="1"/>
    <col min="10160" max="10161" width="6.42578125" customWidth="1"/>
    <col min="10162" max="10162" width="24.5703125" customWidth="1"/>
    <col min="10163" max="10163" width="34.7109375" customWidth="1"/>
    <col min="10164" max="10164" width="16.42578125" customWidth="1"/>
    <col min="10165" max="10165" width="16" bestFit="1" customWidth="1"/>
    <col min="10166" max="10166" width="29.140625" customWidth="1"/>
    <col min="10167" max="10167" width="15.7109375" customWidth="1"/>
    <col min="10168" max="10169" width="6.42578125" customWidth="1"/>
    <col min="10170" max="10170" width="24.5703125" customWidth="1"/>
    <col min="10171" max="10171" width="34.7109375" customWidth="1"/>
    <col min="10172" max="10172" width="16.42578125" customWidth="1"/>
    <col min="10173" max="10173" width="16" bestFit="1" customWidth="1"/>
    <col min="10174" max="10174" width="29.140625" customWidth="1"/>
    <col min="10175" max="10175" width="15.7109375" customWidth="1"/>
    <col min="10176" max="10177" width="6.42578125" customWidth="1"/>
    <col min="10178" max="10178" width="24.5703125" customWidth="1"/>
    <col min="10179" max="10179" width="34.7109375" customWidth="1"/>
    <col min="10180" max="10180" width="16.42578125" customWidth="1"/>
    <col min="10181" max="10181" width="16" bestFit="1" customWidth="1"/>
    <col min="10182" max="10182" width="29.140625" customWidth="1"/>
    <col min="10183" max="10183" width="15.7109375" customWidth="1"/>
    <col min="10184" max="10185" width="6.42578125" customWidth="1"/>
    <col min="10186" max="10186" width="24.5703125" customWidth="1"/>
    <col min="10187" max="10187" width="34.7109375" customWidth="1"/>
    <col min="10188" max="10188" width="16.42578125" customWidth="1"/>
    <col min="10189" max="10189" width="16" bestFit="1" customWidth="1"/>
    <col min="10190" max="10190" width="29.140625" customWidth="1"/>
    <col min="10191" max="10191" width="15.7109375" customWidth="1"/>
    <col min="10192" max="10193" width="6.42578125" customWidth="1"/>
    <col min="10194" max="10194" width="24.5703125" customWidth="1"/>
    <col min="10195" max="10195" width="34.7109375" customWidth="1"/>
    <col min="10196" max="10196" width="16.42578125" customWidth="1"/>
    <col min="10197" max="10197" width="16" bestFit="1" customWidth="1"/>
    <col min="10198" max="10198" width="29.140625" customWidth="1"/>
    <col min="10199" max="10199" width="15.7109375" customWidth="1"/>
    <col min="10200" max="10201" width="6.42578125" customWidth="1"/>
    <col min="10202" max="10202" width="24.5703125" customWidth="1"/>
    <col min="10203" max="10203" width="34.7109375" customWidth="1"/>
    <col min="10204" max="10204" width="16.42578125" customWidth="1"/>
    <col min="10205" max="10205" width="16" bestFit="1" customWidth="1"/>
    <col min="10206" max="10206" width="29.140625" customWidth="1"/>
    <col min="10207" max="10207" width="15.7109375" customWidth="1"/>
    <col min="10208" max="10209" width="6.42578125" customWidth="1"/>
    <col min="10210" max="10210" width="24.5703125" customWidth="1"/>
    <col min="10211" max="10211" width="34.7109375" customWidth="1"/>
    <col min="10212" max="10212" width="16.42578125" customWidth="1"/>
    <col min="10213" max="10213" width="16" bestFit="1" customWidth="1"/>
    <col min="10214" max="10214" width="29.140625" customWidth="1"/>
    <col min="10215" max="10215" width="15.7109375" customWidth="1"/>
    <col min="10216" max="10217" width="6.42578125" customWidth="1"/>
    <col min="10218" max="10218" width="24.5703125" customWidth="1"/>
    <col min="10219" max="10219" width="34.7109375" customWidth="1"/>
    <col min="10220" max="10220" width="16.42578125" customWidth="1"/>
    <col min="10221" max="10221" width="16" bestFit="1" customWidth="1"/>
    <col min="10222" max="10222" width="29.140625" customWidth="1"/>
    <col min="10223" max="10223" width="15.7109375" customWidth="1"/>
    <col min="10224" max="10225" width="6.42578125" customWidth="1"/>
    <col min="10226" max="10226" width="24.5703125" customWidth="1"/>
    <col min="10227" max="10227" width="34.7109375" customWidth="1"/>
    <col min="10228" max="10228" width="16.42578125" customWidth="1"/>
    <col min="10229" max="10229" width="16" bestFit="1" customWidth="1"/>
    <col min="10230" max="10230" width="29.140625" customWidth="1"/>
    <col min="10231" max="10231" width="15.7109375" customWidth="1"/>
    <col min="10232" max="10233" width="6.42578125" customWidth="1"/>
    <col min="10234" max="10234" width="24.5703125" customWidth="1"/>
    <col min="10235" max="10235" width="34.7109375" customWidth="1"/>
    <col min="10236" max="10236" width="16.42578125" customWidth="1"/>
    <col min="10237" max="10237" width="16" bestFit="1" customWidth="1"/>
    <col min="10238" max="10238" width="29.140625" customWidth="1"/>
    <col min="10239" max="10239" width="15.7109375" customWidth="1"/>
    <col min="10240" max="10241" width="6.42578125" customWidth="1"/>
    <col min="10242" max="10242" width="24.5703125" customWidth="1"/>
    <col min="10243" max="10243" width="34.7109375" customWidth="1"/>
    <col min="10244" max="10244" width="16.42578125" customWidth="1"/>
    <col min="10245" max="10245" width="16" bestFit="1" customWidth="1"/>
    <col min="10246" max="10246" width="29.140625" customWidth="1"/>
    <col min="10247" max="10247" width="15.7109375" customWidth="1"/>
    <col min="10248" max="10249" width="6.42578125" customWidth="1"/>
    <col min="10250" max="10250" width="24.5703125" customWidth="1"/>
    <col min="10251" max="10251" width="34.7109375" customWidth="1"/>
    <col min="10252" max="10252" width="16.42578125" customWidth="1"/>
    <col min="10253" max="10253" width="16" bestFit="1" customWidth="1"/>
    <col min="10254" max="10254" width="29.140625" customWidth="1"/>
    <col min="10255" max="10255" width="15.7109375" customWidth="1"/>
    <col min="10256" max="10257" width="6.42578125" customWidth="1"/>
    <col min="10258" max="10258" width="24.5703125" customWidth="1"/>
    <col min="10259" max="10259" width="34.7109375" customWidth="1"/>
    <col min="10260" max="10260" width="16.42578125" customWidth="1"/>
    <col min="10261" max="10261" width="16" bestFit="1" customWidth="1"/>
    <col min="10262" max="10262" width="29.140625" customWidth="1"/>
    <col min="10263" max="10263" width="15.7109375" customWidth="1"/>
    <col min="10264" max="10265" width="6.42578125" customWidth="1"/>
    <col min="10266" max="10266" width="24.5703125" customWidth="1"/>
    <col min="10267" max="10267" width="34.7109375" customWidth="1"/>
    <col min="10268" max="10268" width="16.42578125" customWidth="1"/>
    <col min="10269" max="10269" width="16" bestFit="1" customWidth="1"/>
    <col min="10270" max="10270" width="29.140625" customWidth="1"/>
    <col min="10271" max="10271" width="15.7109375" customWidth="1"/>
    <col min="10272" max="10273" width="6.42578125" customWidth="1"/>
    <col min="10274" max="10274" width="24.5703125" customWidth="1"/>
    <col min="10275" max="10275" width="34.7109375" customWidth="1"/>
    <col min="10276" max="10276" width="16.42578125" customWidth="1"/>
    <col min="10277" max="10277" width="16" bestFit="1" customWidth="1"/>
    <col min="10278" max="10278" width="29.140625" customWidth="1"/>
    <col min="10279" max="10279" width="15.7109375" customWidth="1"/>
    <col min="10280" max="10281" width="6.42578125" customWidth="1"/>
    <col min="10282" max="10282" width="24.5703125" customWidth="1"/>
    <col min="10283" max="10283" width="34.7109375" customWidth="1"/>
    <col min="10284" max="10284" width="16.42578125" customWidth="1"/>
    <col min="10285" max="10285" width="16" bestFit="1" customWidth="1"/>
    <col min="10286" max="10286" width="29.140625" customWidth="1"/>
    <col min="10287" max="10287" width="15.7109375" customWidth="1"/>
    <col min="10288" max="10289" width="6.42578125" customWidth="1"/>
    <col min="10290" max="10290" width="24.5703125" customWidth="1"/>
    <col min="10291" max="10291" width="34.7109375" customWidth="1"/>
    <col min="10292" max="10292" width="16.42578125" customWidth="1"/>
    <col min="10293" max="10293" width="16" bestFit="1" customWidth="1"/>
    <col min="10294" max="10294" width="29.140625" customWidth="1"/>
    <col min="10295" max="10295" width="15.7109375" customWidth="1"/>
    <col min="10296" max="10297" width="6.42578125" customWidth="1"/>
    <col min="10298" max="10298" width="24.5703125" customWidth="1"/>
    <col min="10299" max="10299" width="34.7109375" customWidth="1"/>
    <col min="10300" max="10300" width="16.42578125" customWidth="1"/>
    <col min="10301" max="10301" width="16" bestFit="1" customWidth="1"/>
    <col min="10302" max="10302" width="29.140625" customWidth="1"/>
    <col min="10303" max="10303" width="15.7109375" customWidth="1"/>
    <col min="10304" max="10305" width="6.42578125" customWidth="1"/>
    <col min="10306" max="10306" width="24.5703125" customWidth="1"/>
    <col min="10307" max="10307" width="34.7109375" customWidth="1"/>
    <col min="10308" max="10308" width="16.42578125" customWidth="1"/>
    <col min="10309" max="10309" width="16" bestFit="1" customWidth="1"/>
    <col min="10310" max="10310" width="29.140625" customWidth="1"/>
    <col min="10311" max="10311" width="15.7109375" customWidth="1"/>
    <col min="10312" max="10313" width="6.42578125" customWidth="1"/>
    <col min="10314" max="10314" width="24.5703125" customWidth="1"/>
    <col min="10315" max="10315" width="34.7109375" customWidth="1"/>
    <col min="10316" max="10316" width="16.42578125" customWidth="1"/>
    <col min="10317" max="10317" width="16" bestFit="1" customWidth="1"/>
    <col min="10318" max="10318" width="29.140625" customWidth="1"/>
    <col min="10319" max="10319" width="15.7109375" customWidth="1"/>
    <col min="10320" max="10321" width="6.42578125" customWidth="1"/>
    <col min="10322" max="10322" width="24.5703125" customWidth="1"/>
    <col min="10323" max="10323" width="34.7109375" customWidth="1"/>
    <col min="10324" max="10324" width="16.42578125" customWidth="1"/>
    <col min="10325" max="10325" width="16" bestFit="1" customWidth="1"/>
    <col min="10326" max="10326" width="29.140625" customWidth="1"/>
    <col min="10327" max="10327" width="15.7109375" customWidth="1"/>
    <col min="10328" max="10329" width="6.42578125" customWidth="1"/>
    <col min="10330" max="10330" width="24.5703125" customWidth="1"/>
    <col min="10331" max="10331" width="34.7109375" customWidth="1"/>
    <col min="10332" max="10332" width="16.42578125" customWidth="1"/>
    <col min="10333" max="10333" width="16" bestFit="1" customWidth="1"/>
    <col min="10334" max="10334" width="29.140625" customWidth="1"/>
    <col min="10335" max="10335" width="15.7109375" customWidth="1"/>
    <col min="10336" max="10337" width="6.42578125" customWidth="1"/>
    <col min="10338" max="10338" width="24.5703125" customWidth="1"/>
    <col min="10339" max="10339" width="34.7109375" customWidth="1"/>
    <col min="10340" max="10340" width="16.42578125" customWidth="1"/>
    <col min="10341" max="10341" width="16" bestFit="1" customWidth="1"/>
    <col min="10342" max="10342" width="29.140625" customWidth="1"/>
    <col min="10343" max="10343" width="15.7109375" customWidth="1"/>
    <col min="10344" max="10345" width="6.42578125" customWidth="1"/>
    <col min="10346" max="10346" width="24.5703125" customWidth="1"/>
    <col min="10347" max="10347" width="34.7109375" customWidth="1"/>
    <col min="10348" max="10348" width="16.42578125" customWidth="1"/>
    <col min="10349" max="10349" width="16" bestFit="1" customWidth="1"/>
    <col min="10350" max="10350" width="29.140625" customWidth="1"/>
    <col min="10351" max="10351" width="15.7109375" customWidth="1"/>
    <col min="10352" max="10353" width="6.42578125" customWidth="1"/>
    <col min="10354" max="10354" width="24.5703125" customWidth="1"/>
    <col min="10355" max="10355" width="34.7109375" customWidth="1"/>
    <col min="10356" max="10356" width="16.42578125" customWidth="1"/>
    <col min="10357" max="10357" width="16" bestFit="1" customWidth="1"/>
    <col min="10358" max="10358" width="29.140625" customWidth="1"/>
    <col min="10359" max="10359" width="15.7109375" customWidth="1"/>
    <col min="10360" max="10361" width="6.42578125" customWidth="1"/>
    <col min="10362" max="10362" width="24.5703125" customWidth="1"/>
    <col min="10363" max="10363" width="34.7109375" customWidth="1"/>
    <col min="10364" max="10364" width="16.42578125" customWidth="1"/>
    <col min="10365" max="10365" width="16" bestFit="1" customWidth="1"/>
    <col min="10366" max="10366" width="29.140625" customWidth="1"/>
    <col min="10367" max="10367" width="15.7109375" customWidth="1"/>
    <col min="10368" max="10369" width="6.42578125" customWidth="1"/>
    <col min="10370" max="10370" width="24.5703125" customWidth="1"/>
    <col min="10371" max="10371" width="34.7109375" customWidth="1"/>
    <col min="10372" max="10372" width="16.42578125" customWidth="1"/>
    <col min="10373" max="10373" width="16" bestFit="1" customWidth="1"/>
    <col min="10374" max="10374" width="29.140625" customWidth="1"/>
    <col min="10375" max="10375" width="15.7109375" customWidth="1"/>
    <col min="10376" max="10377" width="6.42578125" customWidth="1"/>
    <col min="10378" max="10378" width="24.5703125" customWidth="1"/>
    <col min="10379" max="10379" width="34.7109375" customWidth="1"/>
    <col min="10380" max="10380" width="16.42578125" customWidth="1"/>
    <col min="10381" max="10381" width="16" bestFit="1" customWidth="1"/>
    <col min="10382" max="10382" width="29.140625" customWidth="1"/>
    <col min="10383" max="10383" width="15.7109375" customWidth="1"/>
    <col min="10384" max="10385" width="6.42578125" customWidth="1"/>
    <col min="10386" max="10386" width="24.5703125" customWidth="1"/>
    <col min="10387" max="10387" width="34.7109375" customWidth="1"/>
    <col min="10388" max="10388" width="16.42578125" customWidth="1"/>
    <col min="10389" max="10389" width="16" bestFit="1" customWidth="1"/>
    <col min="10390" max="10390" width="29.140625" customWidth="1"/>
    <col min="10391" max="10391" width="15.7109375" customWidth="1"/>
    <col min="10392" max="10393" width="6.42578125" customWidth="1"/>
    <col min="10394" max="10394" width="24.5703125" customWidth="1"/>
    <col min="10395" max="10395" width="34.7109375" customWidth="1"/>
    <col min="10396" max="10396" width="16.42578125" customWidth="1"/>
    <col min="10397" max="10397" width="16" bestFit="1" customWidth="1"/>
    <col min="10398" max="10398" width="29.140625" customWidth="1"/>
    <col min="10399" max="10399" width="15.7109375" customWidth="1"/>
    <col min="10400" max="10401" width="6.42578125" customWidth="1"/>
    <col min="10402" max="10402" width="24.5703125" customWidth="1"/>
    <col min="10403" max="10403" width="34.7109375" customWidth="1"/>
    <col min="10404" max="10404" width="16.42578125" customWidth="1"/>
    <col min="10405" max="10405" width="16" bestFit="1" customWidth="1"/>
    <col min="10406" max="10406" width="29.140625" customWidth="1"/>
    <col min="10407" max="10407" width="15.7109375" customWidth="1"/>
    <col min="10408" max="10409" width="6.42578125" customWidth="1"/>
    <col min="10410" max="10410" width="24.5703125" customWidth="1"/>
    <col min="10411" max="10411" width="34.7109375" customWidth="1"/>
    <col min="10412" max="10412" width="16.42578125" customWidth="1"/>
    <col min="10413" max="10413" width="16" bestFit="1" customWidth="1"/>
    <col min="10414" max="10414" width="29.140625" customWidth="1"/>
    <col min="10415" max="10415" width="15.7109375" customWidth="1"/>
    <col min="10416" max="10417" width="6.42578125" customWidth="1"/>
    <col min="10418" max="10418" width="24.5703125" customWidth="1"/>
    <col min="10419" max="10419" width="34.7109375" customWidth="1"/>
    <col min="10420" max="10420" width="16.42578125" customWidth="1"/>
    <col min="10421" max="10421" width="16" bestFit="1" customWidth="1"/>
    <col min="10422" max="10422" width="29.140625" customWidth="1"/>
    <col min="10423" max="10423" width="15.7109375" customWidth="1"/>
    <col min="10424" max="10425" width="6.42578125" customWidth="1"/>
    <col min="10426" max="10426" width="24.5703125" customWidth="1"/>
    <col min="10427" max="10427" width="34.7109375" customWidth="1"/>
    <col min="10428" max="10428" width="16.42578125" customWidth="1"/>
    <col min="10429" max="10429" width="16" bestFit="1" customWidth="1"/>
    <col min="10430" max="10430" width="29.140625" customWidth="1"/>
    <col min="10431" max="10431" width="15.7109375" customWidth="1"/>
    <col min="10432" max="10433" width="6.42578125" customWidth="1"/>
    <col min="10434" max="10434" width="24.5703125" customWidth="1"/>
    <col min="10435" max="10435" width="34.7109375" customWidth="1"/>
    <col min="10436" max="10436" width="16.42578125" customWidth="1"/>
    <col min="10437" max="10437" width="16" bestFit="1" customWidth="1"/>
    <col min="10438" max="10438" width="29.140625" customWidth="1"/>
    <col min="10439" max="10439" width="15.7109375" customWidth="1"/>
    <col min="10440" max="10441" width="6.42578125" customWidth="1"/>
    <col min="10442" max="10442" width="24.5703125" customWidth="1"/>
    <col min="10443" max="10443" width="34.7109375" customWidth="1"/>
    <col min="10444" max="10444" width="16.42578125" customWidth="1"/>
    <col min="10445" max="10445" width="16" bestFit="1" customWidth="1"/>
    <col min="10446" max="10446" width="29.140625" customWidth="1"/>
    <col min="10447" max="10447" width="15.7109375" customWidth="1"/>
    <col min="10448" max="10449" width="6.42578125" customWidth="1"/>
    <col min="10450" max="10450" width="24.5703125" customWidth="1"/>
    <col min="10451" max="10451" width="34.7109375" customWidth="1"/>
    <col min="10452" max="10452" width="16.42578125" customWidth="1"/>
    <col min="10453" max="10453" width="16" bestFit="1" customWidth="1"/>
    <col min="10454" max="10454" width="29.140625" customWidth="1"/>
    <col min="10455" max="10455" width="15.7109375" customWidth="1"/>
    <col min="10456" max="10457" width="6.42578125" customWidth="1"/>
    <col min="10458" max="10458" width="24.5703125" customWidth="1"/>
    <col min="10459" max="10459" width="34.7109375" customWidth="1"/>
    <col min="10460" max="10460" width="16.42578125" customWidth="1"/>
    <col min="10461" max="10461" width="16" bestFit="1" customWidth="1"/>
    <col min="10462" max="10462" width="29.140625" customWidth="1"/>
    <col min="10463" max="10463" width="15.7109375" customWidth="1"/>
    <col min="10464" max="10465" width="6.42578125" customWidth="1"/>
    <col min="10466" max="10466" width="24.5703125" customWidth="1"/>
    <col min="10467" max="10467" width="34.7109375" customWidth="1"/>
    <col min="10468" max="10468" width="16.42578125" customWidth="1"/>
    <col min="10469" max="10469" width="16" bestFit="1" customWidth="1"/>
    <col min="10470" max="10470" width="29.140625" customWidth="1"/>
    <col min="10471" max="10471" width="15.7109375" customWidth="1"/>
    <col min="10472" max="10473" width="6.42578125" customWidth="1"/>
    <col min="10474" max="10474" width="24.5703125" customWidth="1"/>
    <col min="10475" max="10475" width="34.7109375" customWidth="1"/>
    <col min="10476" max="10476" width="16.42578125" customWidth="1"/>
    <col min="10477" max="10477" width="16" bestFit="1" customWidth="1"/>
    <col min="10478" max="10478" width="29.140625" customWidth="1"/>
    <col min="10479" max="10479" width="15.7109375" customWidth="1"/>
    <col min="10480" max="10481" width="6.42578125" customWidth="1"/>
    <col min="10482" max="10482" width="24.5703125" customWidth="1"/>
    <col min="10483" max="10483" width="34.7109375" customWidth="1"/>
    <col min="10484" max="10484" width="16.42578125" customWidth="1"/>
    <col min="10485" max="10485" width="16" bestFit="1" customWidth="1"/>
    <col min="10486" max="10486" width="29.140625" customWidth="1"/>
    <col min="10487" max="10487" width="15.7109375" customWidth="1"/>
    <col min="10488" max="10489" width="6.42578125" customWidth="1"/>
    <col min="10490" max="10490" width="24.5703125" customWidth="1"/>
    <col min="10491" max="10491" width="34.7109375" customWidth="1"/>
    <col min="10492" max="10492" width="16.42578125" customWidth="1"/>
    <col min="10493" max="10493" width="16" bestFit="1" customWidth="1"/>
    <col min="10494" max="10494" width="29.140625" customWidth="1"/>
    <col min="10495" max="10495" width="15.7109375" customWidth="1"/>
    <col min="10496" max="10497" width="6.42578125" customWidth="1"/>
    <col min="10498" max="10498" width="24.5703125" customWidth="1"/>
    <col min="10499" max="10499" width="34.7109375" customWidth="1"/>
    <col min="10500" max="10500" width="16.42578125" customWidth="1"/>
    <col min="10501" max="10501" width="16" bestFit="1" customWidth="1"/>
    <col min="10502" max="10502" width="29.140625" customWidth="1"/>
    <col min="10503" max="10503" width="15.7109375" customWidth="1"/>
    <col min="10504" max="10505" width="6.42578125" customWidth="1"/>
    <col min="10506" max="10506" width="24.5703125" customWidth="1"/>
    <col min="10507" max="10507" width="34.7109375" customWidth="1"/>
    <col min="10508" max="10508" width="16.42578125" customWidth="1"/>
    <col min="10509" max="10509" width="16" bestFit="1" customWidth="1"/>
    <col min="10510" max="10510" width="29.140625" customWidth="1"/>
    <col min="10511" max="10511" width="15.7109375" customWidth="1"/>
    <col min="10512" max="10513" width="6.42578125" customWidth="1"/>
    <col min="10514" max="10514" width="24.5703125" customWidth="1"/>
    <col min="10515" max="10515" width="34.7109375" customWidth="1"/>
    <col min="10516" max="10516" width="16.42578125" customWidth="1"/>
    <col min="10517" max="10517" width="16" bestFit="1" customWidth="1"/>
    <col min="10518" max="10518" width="29.140625" customWidth="1"/>
    <col min="10519" max="10519" width="15.7109375" customWidth="1"/>
    <col min="10520" max="10521" width="6.42578125" customWidth="1"/>
    <col min="10522" max="10522" width="24.5703125" customWidth="1"/>
    <col min="10523" max="10523" width="34.7109375" customWidth="1"/>
    <col min="10524" max="10524" width="16.42578125" customWidth="1"/>
    <col min="10525" max="10525" width="16" bestFit="1" customWidth="1"/>
    <col min="10526" max="10526" width="29.140625" customWidth="1"/>
    <col min="10527" max="10527" width="15.7109375" customWidth="1"/>
    <col min="10528" max="10529" width="6.42578125" customWidth="1"/>
    <col min="10530" max="10530" width="24.5703125" customWidth="1"/>
    <col min="10531" max="10531" width="34.7109375" customWidth="1"/>
    <col min="10532" max="10532" width="16.42578125" customWidth="1"/>
    <col min="10533" max="10533" width="16" bestFit="1" customWidth="1"/>
    <col min="10534" max="10534" width="29.140625" customWidth="1"/>
    <col min="10535" max="10535" width="15.7109375" customWidth="1"/>
    <col min="10536" max="10537" width="6.42578125" customWidth="1"/>
    <col min="10538" max="10538" width="24.5703125" customWidth="1"/>
    <col min="10539" max="10539" width="34.7109375" customWidth="1"/>
    <col min="10540" max="10540" width="16.42578125" customWidth="1"/>
    <col min="10541" max="10541" width="16" bestFit="1" customWidth="1"/>
    <col min="10542" max="10542" width="29.140625" customWidth="1"/>
    <col min="10543" max="10543" width="15.7109375" customWidth="1"/>
    <col min="10544" max="10545" width="6.42578125" customWidth="1"/>
    <col min="10546" max="10546" width="24.5703125" customWidth="1"/>
    <col min="10547" max="10547" width="34.7109375" customWidth="1"/>
    <col min="10548" max="10548" width="16.42578125" customWidth="1"/>
    <col min="10549" max="10549" width="16" bestFit="1" customWidth="1"/>
    <col min="10550" max="10550" width="29.140625" customWidth="1"/>
    <col min="10551" max="10551" width="15.7109375" customWidth="1"/>
    <col min="10552" max="10553" width="6.42578125" customWidth="1"/>
    <col min="10554" max="10554" width="24.5703125" customWidth="1"/>
    <col min="10555" max="10555" width="34.7109375" customWidth="1"/>
    <col min="10556" max="10556" width="16.42578125" customWidth="1"/>
    <col min="10557" max="10557" width="16" bestFit="1" customWidth="1"/>
    <col min="10558" max="10558" width="29.140625" customWidth="1"/>
    <col min="10559" max="10559" width="15.7109375" customWidth="1"/>
    <col min="10560" max="10561" width="6.42578125" customWidth="1"/>
    <col min="10562" max="10562" width="24.5703125" customWidth="1"/>
    <col min="10563" max="10563" width="34.7109375" customWidth="1"/>
    <col min="10564" max="10564" width="16.42578125" customWidth="1"/>
    <col min="10565" max="10565" width="16" bestFit="1" customWidth="1"/>
    <col min="10566" max="10566" width="29.140625" customWidth="1"/>
    <col min="10567" max="10567" width="15.7109375" customWidth="1"/>
    <col min="10568" max="10569" width="6.42578125" customWidth="1"/>
    <col min="10570" max="10570" width="24.5703125" customWidth="1"/>
    <col min="10571" max="10571" width="34.7109375" customWidth="1"/>
    <col min="10572" max="10572" width="16.42578125" customWidth="1"/>
    <col min="10573" max="10573" width="16" bestFit="1" customWidth="1"/>
    <col min="10574" max="10574" width="29.140625" customWidth="1"/>
    <col min="10575" max="10575" width="15.7109375" customWidth="1"/>
    <col min="10576" max="10577" width="6.42578125" customWidth="1"/>
    <col min="10578" max="10578" width="24.5703125" customWidth="1"/>
    <col min="10579" max="10579" width="34.7109375" customWidth="1"/>
    <col min="10580" max="10580" width="16.42578125" customWidth="1"/>
    <col min="10581" max="10581" width="16" bestFit="1" customWidth="1"/>
    <col min="10582" max="10582" width="29.140625" customWidth="1"/>
    <col min="10583" max="10583" width="15.7109375" customWidth="1"/>
    <col min="10584" max="10585" width="6.42578125" customWidth="1"/>
    <col min="10586" max="10586" width="24.5703125" customWidth="1"/>
    <col min="10587" max="10587" width="34.7109375" customWidth="1"/>
    <col min="10588" max="10588" width="16.42578125" customWidth="1"/>
    <col min="10589" max="10589" width="16" bestFit="1" customWidth="1"/>
    <col min="10590" max="10590" width="29.140625" customWidth="1"/>
    <col min="10591" max="10591" width="15.7109375" customWidth="1"/>
    <col min="10592" max="10593" width="6.42578125" customWidth="1"/>
    <col min="10594" max="10594" width="24.5703125" customWidth="1"/>
    <col min="10595" max="10595" width="34.7109375" customWidth="1"/>
    <col min="10596" max="10596" width="16.42578125" customWidth="1"/>
    <col min="10597" max="10597" width="16" bestFit="1" customWidth="1"/>
    <col min="10598" max="10598" width="29.140625" customWidth="1"/>
    <col min="10599" max="10599" width="15.7109375" customWidth="1"/>
    <col min="10600" max="10601" width="6.42578125" customWidth="1"/>
    <col min="10602" max="10602" width="24.5703125" customWidth="1"/>
    <col min="10603" max="10603" width="34.7109375" customWidth="1"/>
    <col min="10604" max="10604" width="16.42578125" customWidth="1"/>
    <col min="10605" max="10605" width="16" bestFit="1" customWidth="1"/>
    <col min="10606" max="10606" width="29.140625" customWidth="1"/>
    <col min="10607" max="10607" width="15.7109375" customWidth="1"/>
    <col min="10608" max="10609" width="6.42578125" customWidth="1"/>
    <col min="10610" max="10610" width="24.5703125" customWidth="1"/>
    <col min="10611" max="10611" width="34.7109375" customWidth="1"/>
    <col min="10612" max="10612" width="16.42578125" customWidth="1"/>
    <col min="10613" max="10613" width="16" bestFit="1" customWidth="1"/>
    <col min="10614" max="10614" width="29.140625" customWidth="1"/>
    <col min="10615" max="10615" width="15.7109375" customWidth="1"/>
    <col min="10616" max="10617" width="6.42578125" customWidth="1"/>
    <col min="10618" max="10618" width="24.5703125" customWidth="1"/>
    <col min="10619" max="10619" width="34.7109375" customWidth="1"/>
    <col min="10620" max="10620" width="16.42578125" customWidth="1"/>
    <col min="10621" max="10621" width="16" bestFit="1" customWidth="1"/>
    <col min="10622" max="10622" width="29.140625" customWidth="1"/>
    <col min="10623" max="10623" width="15.7109375" customWidth="1"/>
    <col min="10624" max="10625" width="6.42578125" customWidth="1"/>
    <col min="10626" max="10626" width="24.5703125" customWidth="1"/>
    <col min="10627" max="10627" width="34.7109375" customWidth="1"/>
    <col min="10628" max="10628" width="16.42578125" customWidth="1"/>
    <col min="10629" max="10629" width="16" bestFit="1" customWidth="1"/>
    <col min="10630" max="10630" width="29.140625" customWidth="1"/>
    <col min="10631" max="10631" width="15.7109375" customWidth="1"/>
    <col min="10632" max="10633" width="6.42578125" customWidth="1"/>
    <col min="10634" max="10634" width="24.5703125" customWidth="1"/>
    <col min="10635" max="10635" width="34.7109375" customWidth="1"/>
    <col min="10636" max="10636" width="16.42578125" customWidth="1"/>
    <col min="10637" max="10637" width="16" bestFit="1" customWidth="1"/>
    <col min="10638" max="10638" width="29.140625" customWidth="1"/>
    <col min="10639" max="10639" width="15.7109375" customWidth="1"/>
    <col min="10640" max="10641" width="6.42578125" customWidth="1"/>
    <col min="10642" max="10642" width="24.5703125" customWidth="1"/>
    <col min="10643" max="10643" width="34.7109375" customWidth="1"/>
    <col min="10644" max="10644" width="16.42578125" customWidth="1"/>
    <col min="10645" max="10645" width="16" bestFit="1" customWidth="1"/>
    <col min="10646" max="10646" width="29.140625" customWidth="1"/>
    <col min="10647" max="10647" width="15.7109375" customWidth="1"/>
    <col min="10648" max="10649" width="6.42578125" customWidth="1"/>
    <col min="10650" max="10650" width="24.5703125" customWidth="1"/>
    <col min="10651" max="10651" width="34.7109375" customWidth="1"/>
    <col min="10652" max="10652" width="16.42578125" customWidth="1"/>
    <col min="10653" max="10653" width="16" bestFit="1" customWidth="1"/>
    <col min="10654" max="10654" width="29.140625" customWidth="1"/>
    <col min="10655" max="10655" width="15.7109375" customWidth="1"/>
    <col min="10656" max="10657" width="6.42578125" customWidth="1"/>
    <col min="10658" max="10658" width="24.5703125" customWidth="1"/>
    <col min="10659" max="10659" width="34.7109375" customWidth="1"/>
    <col min="10660" max="10660" width="16.42578125" customWidth="1"/>
    <col min="10661" max="10661" width="16" bestFit="1" customWidth="1"/>
    <col min="10662" max="10662" width="29.140625" customWidth="1"/>
    <col min="10663" max="10663" width="15.7109375" customWidth="1"/>
    <col min="10664" max="10665" width="6.42578125" customWidth="1"/>
    <col min="10666" max="10666" width="24.5703125" customWidth="1"/>
    <col min="10667" max="10667" width="34.7109375" customWidth="1"/>
    <col min="10668" max="10668" width="16.42578125" customWidth="1"/>
    <col min="10669" max="10669" width="16" bestFit="1" customWidth="1"/>
    <col min="10670" max="10670" width="29.140625" customWidth="1"/>
    <col min="10671" max="10671" width="15.7109375" customWidth="1"/>
    <col min="10672" max="10673" width="6.42578125" customWidth="1"/>
    <col min="10674" max="10674" width="24.5703125" customWidth="1"/>
    <col min="10675" max="10675" width="34.7109375" customWidth="1"/>
    <col min="10676" max="10676" width="16.42578125" customWidth="1"/>
    <col min="10677" max="10677" width="16" bestFit="1" customWidth="1"/>
    <col min="10678" max="10678" width="29.140625" customWidth="1"/>
    <col min="10679" max="10679" width="15.7109375" customWidth="1"/>
    <col min="10680" max="10681" width="6.42578125" customWidth="1"/>
    <col min="10682" max="10682" width="24.5703125" customWidth="1"/>
    <col min="10683" max="10683" width="34.7109375" customWidth="1"/>
    <col min="10684" max="10684" width="16.42578125" customWidth="1"/>
    <col min="10685" max="10685" width="16" bestFit="1" customWidth="1"/>
    <col min="10686" max="10686" width="29.140625" customWidth="1"/>
    <col min="10687" max="10687" width="15.7109375" customWidth="1"/>
    <col min="10688" max="10689" width="6.42578125" customWidth="1"/>
    <col min="10690" max="10690" width="24.5703125" customWidth="1"/>
    <col min="10691" max="10691" width="34.7109375" customWidth="1"/>
    <col min="10692" max="10692" width="16.42578125" customWidth="1"/>
    <col min="10693" max="10693" width="16" bestFit="1" customWidth="1"/>
    <col min="10694" max="10694" width="29.140625" customWidth="1"/>
    <col min="10695" max="10695" width="15.7109375" customWidth="1"/>
    <col min="10696" max="10697" width="6.42578125" customWidth="1"/>
    <col min="10698" max="10698" width="24.5703125" customWidth="1"/>
    <col min="10699" max="10699" width="34.7109375" customWidth="1"/>
    <col min="10700" max="10700" width="16.42578125" customWidth="1"/>
    <col min="10701" max="10701" width="16" bestFit="1" customWidth="1"/>
    <col min="10702" max="10702" width="29.140625" customWidth="1"/>
    <col min="10703" max="10703" width="15.7109375" customWidth="1"/>
    <col min="10704" max="10705" width="6.42578125" customWidth="1"/>
    <col min="10706" max="10706" width="24.5703125" customWidth="1"/>
    <col min="10707" max="10707" width="34.7109375" customWidth="1"/>
    <col min="10708" max="10708" width="16.42578125" customWidth="1"/>
    <col min="10709" max="10709" width="16" bestFit="1" customWidth="1"/>
    <col min="10710" max="10710" width="29.140625" customWidth="1"/>
    <col min="10711" max="10711" width="15.7109375" customWidth="1"/>
    <col min="10712" max="10713" width="6.42578125" customWidth="1"/>
    <col min="10714" max="10714" width="24.5703125" customWidth="1"/>
    <col min="10715" max="10715" width="34.7109375" customWidth="1"/>
    <col min="10716" max="10716" width="16.42578125" customWidth="1"/>
    <col min="10717" max="10717" width="16" bestFit="1" customWidth="1"/>
    <col min="10718" max="10718" width="29.140625" customWidth="1"/>
    <col min="10719" max="10719" width="15.7109375" customWidth="1"/>
    <col min="10720" max="10721" width="6.42578125" customWidth="1"/>
    <col min="10722" max="10722" width="24.5703125" customWidth="1"/>
    <col min="10723" max="10723" width="34.7109375" customWidth="1"/>
    <col min="10724" max="10724" width="16.42578125" customWidth="1"/>
    <col min="10725" max="10725" width="16" bestFit="1" customWidth="1"/>
    <col min="10726" max="10726" width="29.140625" customWidth="1"/>
    <col min="10727" max="10727" width="15.7109375" customWidth="1"/>
    <col min="10728" max="10729" width="6.42578125" customWidth="1"/>
    <col min="10730" max="10730" width="24.5703125" customWidth="1"/>
    <col min="10731" max="10731" width="34.7109375" customWidth="1"/>
    <col min="10732" max="10732" width="16.42578125" customWidth="1"/>
    <col min="10733" max="10733" width="16" bestFit="1" customWidth="1"/>
    <col min="10734" max="10734" width="29.140625" customWidth="1"/>
    <col min="10735" max="10735" width="15.7109375" customWidth="1"/>
    <col min="10736" max="10737" width="6.42578125" customWidth="1"/>
    <col min="10738" max="10738" width="24.5703125" customWidth="1"/>
    <col min="10739" max="10739" width="34.7109375" customWidth="1"/>
    <col min="10740" max="10740" width="16.42578125" customWidth="1"/>
    <col min="10741" max="10741" width="16" bestFit="1" customWidth="1"/>
    <col min="10742" max="10742" width="29.140625" customWidth="1"/>
    <col min="10743" max="10743" width="15.7109375" customWidth="1"/>
    <col min="10744" max="10745" width="6.42578125" customWidth="1"/>
    <col min="10746" max="10746" width="24.5703125" customWidth="1"/>
    <col min="10747" max="10747" width="34.7109375" customWidth="1"/>
    <col min="10748" max="10748" width="16.42578125" customWidth="1"/>
    <col min="10749" max="10749" width="16" bestFit="1" customWidth="1"/>
    <col min="10750" max="10750" width="29.140625" customWidth="1"/>
    <col min="10751" max="10751" width="15.7109375" customWidth="1"/>
    <col min="10752" max="10753" width="6.42578125" customWidth="1"/>
    <col min="10754" max="10754" width="24.5703125" customWidth="1"/>
    <col min="10755" max="10755" width="34.7109375" customWidth="1"/>
    <col min="10756" max="10756" width="16.42578125" customWidth="1"/>
    <col min="10757" max="10757" width="16" bestFit="1" customWidth="1"/>
    <col min="10758" max="10758" width="29.140625" customWidth="1"/>
    <col min="10759" max="10759" width="15.7109375" customWidth="1"/>
    <col min="10760" max="10761" width="6.42578125" customWidth="1"/>
    <col min="10762" max="10762" width="24.5703125" customWidth="1"/>
    <col min="10763" max="10763" width="34.7109375" customWidth="1"/>
    <col min="10764" max="10764" width="16.42578125" customWidth="1"/>
    <col min="10765" max="10765" width="16" bestFit="1" customWidth="1"/>
    <col min="10766" max="10766" width="29.140625" customWidth="1"/>
    <col min="10767" max="10767" width="15.7109375" customWidth="1"/>
    <col min="10768" max="10769" width="6.42578125" customWidth="1"/>
    <col min="10770" max="10770" width="24.5703125" customWidth="1"/>
    <col min="10771" max="10771" width="34.7109375" customWidth="1"/>
    <col min="10772" max="10772" width="16.42578125" customWidth="1"/>
    <col min="10773" max="10773" width="16" bestFit="1" customWidth="1"/>
    <col min="10774" max="10774" width="29.140625" customWidth="1"/>
    <col min="10775" max="10775" width="15.7109375" customWidth="1"/>
    <col min="10776" max="10777" width="6.42578125" customWidth="1"/>
    <col min="10778" max="10778" width="24.5703125" customWidth="1"/>
    <col min="10779" max="10779" width="34.7109375" customWidth="1"/>
    <col min="10780" max="10780" width="16.42578125" customWidth="1"/>
    <col min="10781" max="10781" width="16" bestFit="1" customWidth="1"/>
    <col min="10782" max="10782" width="29.140625" customWidth="1"/>
    <col min="10783" max="10783" width="15.7109375" customWidth="1"/>
    <col min="10784" max="10785" width="6.42578125" customWidth="1"/>
    <col min="10786" max="10786" width="24.5703125" customWidth="1"/>
    <col min="10787" max="10787" width="34.7109375" customWidth="1"/>
    <col min="10788" max="10788" width="16.42578125" customWidth="1"/>
    <col min="10789" max="10789" width="16" bestFit="1" customWidth="1"/>
    <col min="10790" max="10790" width="29.140625" customWidth="1"/>
    <col min="10791" max="10791" width="15.7109375" customWidth="1"/>
    <col min="10792" max="10793" width="6.42578125" customWidth="1"/>
    <col min="10794" max="10794" width="24.5703125" customWidth="1"/>
    <col min="10795" max="10795" width="34.7109375" customWidth="1"/>
    <col min="10796" max="10796" width="16.42578125" customWidth="1"/>
    <col min="10797" max="10797" width="16" bestFit="1" customWidth="1"/>
    <col min="10798" max="10798" width="29.140625" customWidth="1"/>
    <col min="10799" max="10799" width="15.7109375" customWidth="1"/>
    <col min="10800" max="10801" width="6.42578125" customWidth="1"/>
    <col min="10802" max="10802" width="24.5703125" customWidth="1"/>
    <col min="10803" max="10803" width="34.7109375" customWidth="1"/>
    <col min="10804" max="10804" width="16.42578125" customWidth="1"/>
    <col min="10805" max="10805" width="16" bestFit="1" customWidth="1"/>
    <col min="10806" max="10806" width="29.140625" customWidth="1"/>
    <col min="10807" max="10807" width="15.7109375" customWidth="1"/>
    <col min="10808" max="10809" width="6.42578125" customWidth="1"/>
    <col min="10810" max="10810" width="24.5703125" customWidth="1"/>
    <col min="10811" max="10811" width="34.7109375" customWidth="1"/>
    <col min="10812" max="10812" width="16.42578125" customWidth="1"/>
    <col min="10813" max="10813" width="16" bestFit="1" customWidth="1"/>
    <col min="10814" max="10814" width="29.140625" customWidth="1"/>
    <col min="10815" max="10815" width="15.7109375" customWidth="1"/>
    <col min="10816" max="10817" width="6.42578125" customWidth="1"/>
    <col min="10818" max="10818" width="24.5703125" customWidth="1"/>
    <col min="10819" max="10819" width="34.7109375" customWidth="1"/>
    <col min="10820" max="10820" width="16.42578125" customWidth="1"/>
    <col min="10821" max="10821" width="16" bestFit="1" customWidth="1"/>
    <col min="10822" max="10822" width="29.140625" customWidth="1"/>
    <col min="10823" max="10823" width="15.7109375" customWidth="1"/>
    <col min="10824" max="10825" width="6.42578125" customWidth="1"/>
    <col min="10826" max="10826" width="24.5703125" customWidth="1"/>
    <col min="10827" max="10827" width="34.7109375" customWidth="1"/>
    <col min="10828" max="10828" width="16.42578125" customWidth="1"/>
    <col min="10829" max="10829" width="16" bestFit="1" customWidth="1"/>
    <col min="10830" max="10830" width="29.140625" customWidth="1"/>
    <col min="10831" max="10831" width="15.7109375" customWidth="1"/>
    <col min="10832" max="10833" width="6.42578125" customWidth="1"/>
    <col min="10834" max="10834" width="24.5703125" customWidth="1"/>
    <col min="10835" max="10835" width="34.7109375" customWidth="1"/>
    <col min="10836" max="10836" width="16.42578125" customWidth="1"/>
    <col min="10837" max="10837" width="16" bestFit="1" customWidth="1"/>
    <col min="10838" max="10838" width="29.140625" customWidth="1"/>
    <col min="10839" max="10839" width="15.7109375" customWidth="1"/>
    <col min="10840" max="10841" width="6.42578125" customWidth="1"/>
    <col min="10842" max="10842" width="24.5703125" customWidth="1"/>
    <col min="10843" max="10843" width="34.7109375" customWidth="1"/>
    <col min="10844" max="10844" width="16.42578125" customWidth="1"/>
    <col min="10845" max="10845" width="16" bestFit="1" customWidth="1"/>
    <col min="10846" max="10846" width="29.140625" customWidth="1"/>
    <col min="10847" max="10847" width="15.7109375" customWidth="1"/>
    <col min="10848" max="10849" width="6.42578125" customWidth="1"/>
    <col min="10850" max="10850" width="24.5703125" customWidth="1"/>
    <col min="10851" max="10851" width="34.7109375" customWidth="1"/>
    <col min="10852" max="10852" width="16.42578125" customWidth="1"/>
    <col min="10853" max="10853" width="16" bestFit="1" customWidth="1"/>
    <col min="10854" max="10854" width="29.140625" customWidth="1"/>
    <col min="10855" max="10855" width="15.7109375" customWidth="1"/>
    <col min="10856" max="10857" width="6.42578125" customWidth="1"/>
    <col min="10858" max="10858" width="24.5703125" customWidth="1"/>
    <col min="10859" max="10859" width="34.7109375" customWidth="1"/>
    <col min="10860" max="10860" width="16.42578125" customWidth="1"/>
    <col min="10861" max="10861" width="16" bestFit="1" customWidth="1"/>
    <col min="10862" max="10862" width="29.140625" customWidth="1"/>
    <col min="10863" max="10863" width="15.7109375" customWidth="1"/>
    <col min="10864" max="10865" width="6.42578125" customWidth="1"/>
    <col min="10866" max="10866" width="24.5703125" customWidth="1"/>
    <col min="10867" max="10867" width="34.7109375" customWidth="1"/>
    <col min="10868" max="10868" width="16.42578125" customWidth="1"/>
    <col min="10869" max="10869" width="16" bestFit="1" customWidth="1"/>
    <col min="10870" max="10870" width="29.140625" customWidth="1"/>
    <col min="10871" max="10871" width="15.7109375" customWidth="1"/>
    <col min="10872" max="10873" width="6.42578125" customWidth="1"/>
    <col min="10874" max="10874" width="24.5703125" customWidth="1"/>
    <col min="10875" max="10875" width="34.7109375" customWidth="1"/>
    <col min="10876" max="10876" width="16.42578125" customWidth="1"/>
    <col min="10877" max="10877" width="16" bestFit="1" customWidth="1"/>
    <col min="10878" max="10878" width="29.140625" customWidth="1"/>
    <col min="10879" max="10879" width="15.7109375" customWidth="1"/>
    <col min="10880" max="10881" width="6.42578125" customWidth="1"/>
    <col min="10882" max="10882" width="24.5703125" customWidth="1"/>
    <col min="10883" max="10883" width="34.7109375" customWidth="1"/>
    <col min="10884" max="10884" width="16.42578125" customWidth="1"/>
    <col min="10885" max="10885" width="16" bestFit="1" customWidth="1"/>
    <col min="10886" max="10886" width="29.140625" customWidth="1"/>
    <col min="10887" max="10887" width="15.7109375" customWidth="1"/>
    <col min="10888" max="10889" width="6.42578125" customWidth="1"/>
    <col min="10890" max="10890" width="24.5703125" customWidth="1"/>
    <col min="10891" max="10891" width="34.7109375" customWidth="1"/>
    <col min="10892" max="10892" width="16.42578125" customWidth="1"/>
    <col min="10893" max="10893" width="16" bestFit="1" customWidth="1"/>
    <col min="10894" max="10894" width="29.140625" customWidth="1"/>
    <col min="10895" max="10895" width="15.7109375" customWidth="1"/>
    <col min="10896" max="10897" width="6.42578125" customWidth="1"/>
    <col min="10898" max="10898" width="24.5703125" customWidth="1"/>
    <col min="10899" max="10899" width="34.7109375" customWidth="1"/>
    <col min="10900" max="10900" width="16.42578125" customWidth="1"/>
    <col min="10901" max="10901" width="16" bestFit="1" customWidth="1"/>
    <col min="10902" max="10902" width="29.140625" customWidth="1"/>
    <col min="10903" max="10903" width="15.7109375" customWidth="1"/>
    <col min="10904" max="10905" width="6.42578125" customWidth="1"/>
    <col min="10906" max="10906" width="24.5703125" customWidth="1"/>
    <col min="10907" max="10907" width="34.7109375" customWidth="1"/>
    <col min="10908" max="10908" width="16.42578125" customWidth="1"/>
    <col min="10909" max="10909" width="16" bestFit="1" customWidth="1"/>
    <col min="10910" max="10910" width="29.140625" customWidth="1"/>
    <col min="10911" max="10911" width="15.7109375" customWidth="1"/>
    <col min="10912" max="10913" width="6.42578125" customWidth="1"/>
    <col min="10914" max="10914" width="24.5703125" customWidth="1"/>
    <col min="10915" max="10915" width="34.7109375" customWidth="1"/>
    <col min="10916" max="10916" width="16.42578125" customWidth="1"/>
    <col min="10917" max="10917" width="16" bestFit="1" customWidth="1"/>
    <col min="10918" max="10918" width="29.140625" customWidth="1"/>
    <col min="10919" max="10919" width="15.7109375" customWidth="1"/>
    <col min="10920" max="10921" width="6.42578125" customWidth="1"/>
    <col min="10922" max="10922" width="24.5703125" customWidth="1"/>
    <col min="10923" max="10923" width="34.7109375" customWidth="1"/>
    <col min="10924" max="10924" width="16.42578125" customWidth="1"/>
    <col min="10925" max="10925" width="16" bestFit="1" customWidth="1"/>
    <col min="10926" max="10926" width="29.140625" customWidth="1"/>
    <col min="10927" max="10927" width="15.7109375" customWidth="1"/>
    <col min="10928" max="10929" width="6.42578125" customWidth="1"/>
    <col min="10930" max="10930" width="24.5703125" customWidth="1"/>
    <col min="10931" max="10931" width="34.7109375" customWidth="1"/>
    <col min="10932" max="10932" width="16.42578125" customWidth="1"/>
    <col min="10933" max="10933" width="16" bestFit="1" customWidth="1"/>
    <col min="10934" max="10934" width="29.140625" customWidth="1"/>
    <col min="10935" max="10935" width="15.7109375" customWidth="1"/>
    <col min="10936" max="10937" width="6.42578125" customWidth="1"/>
    <col min="10938" max="10938" width="24.5703125" customWidth="1"/>
    <col min="10939" max="10939" width="34.7109375" customWidth="1"/>
    <col min="10940" max="10940" width="16.42578125" customWidth="1"/>
    <col min="10941" max="10941" width="16" bestFit="1" customWidth="1"/>
    <col min="10942" max="10942" width="29.140625" customWidth="1"/>
    <col min="10943" max="10943" width="15.7109375" customWidth="1"/>
    <col min="10944" max="10945" width="6.42578125" customWidth="1"/>
    <col min="10946" max="10946" width="24.5703125" customWidth="1"/>
    <col min="10947" max="10947" width="34.7109375" customWidth="1"/>
    <col min="10948" max="10948" width="16.42578125" customWidth="1"/>
    <col min="10949" max="10949" width="16" bestFit="1" customWidth="1"/>
    <col min="10950" max="10950" width="29.140625" customWidth="1"/>
    <col min="10951" max="10951" width="15.7109375" customWidth="1"/>
    <col min="10952" max="10953" width="6.42578125" customWidth="1"/>
    <col min="10954" max="10954" width="24.5703125" customWidth="1"/>
    <col min="10955" max="10955" width="34.7109375" customWidth="1"/>
    <col min="10956" max="10956" width="16.42578125" customWidth="1"/>
    <col min="10957" max="10957" width="16" bestFit="1" customWidth="1"/>
    <col min="10958" max="10958" width="29.140625" customWidth="1"/>
    <col min="10959" max="10959" width="15.7109375" customWidth="1"/>
    <col min="10960" max="10961" width="6.42578125" customWidth="1"/>
    <col min="10962" max="10962" width="24.5703125" customWidth="1"/>
    <col min="10963" max="10963" width="34.7109375" customWidth="1"/>
    <col min="10964" max="10964" width="16.42578125" customWidth="1"/>
    <col min="10965" max="10965" width="16" bestFit="1" customWidth="1"/>
    <col min="10966" max="10966" width="29.140625" customWidth="1"/>
    <col min="10967" max="10967" width="15.7109375" customWidth="1"/>
    <col min="10968" max="10969" width="6.42578125" customWidth="1"/>
    <col min="10970" max="10970" width="24.5703125" customWidth="1"/>
    <col min="10971" max="10971" width="34.7109375" customWidth="1"/>
    <col min="10972" max="10972" width="16.42578125" customWidth="1"/>
    <col min="10973" max="10973" width="16" bestFit="1" customWidth="1"/>
    <col min="10974" max="10974" width="29.140625" customWidth="1"/>
    <col min="10975" max="10975" width="15.7109375" customWidth="1"/>
    <col min="10976" max="10977" width="6.42578125" customWidth="1"/>
    <col min="10978" max="10978" width="24.5703125" customWidth="1"/>
    <col min="10979" max="10979" width="34.7109375" customWidth="1"/>
    <col min="10980" max="10980" width="16.42578125" customWidth="1"/>
    <col min="10981" max="10981" width="16" bestFit="1" customWidth="1"/>
    <col min="10982" max="10982" width="29.140625" customWidth="1"/>
    <col min="10983" max="10983" width="15.7109375" customWidth="1"/>
    <col min="10984" max="10985" width="6.42578125" customWidth="1"/>
    <col min="10986" max="10986" width="24.5703125" customWidth="1"/>
    <col min="10987" max="10987" width="34.7109375" customWidth="1"/>
    <col min="10988" max="10988" width="16.42578125" customWidth="1"/>
    <col min="10989" max="10989" width="16" bestFit="1" customWidth="1"/>
    <col min="10990" max="10990" width="29.140625" customWidth="1"/>
    <col min="10991" max="10991" width="15.7109375" customWidth="1"/>
    <col min="10992" max="10993" width="6.42578125" customWidth="1"/>
    <col min="10994" max="10994" width="24.5703125" customWidth="1"/>
    <col min="10995" max="10995" width="34.7109375" customWidth="1"/>
    <col min="10996" max="10996" width="16.42578125" customWidth="1"/>
    <col min="10997" max="10997" width="16" bestFit="1" customWidth="1"/>
    <col min="10998" max="10998" width="29.140625" customWidth="1"/>
    <col min="10999" max="10999" width="15.7109375" customWidth="1"/>
    <col min="11000" max="11001" width="6.42578125" customWidth="1"/>
    <col min="11002" max="11002" width="24.5703125" customWidth="1"/>
    <col min="11003" max="11003" width="34.7109375" customWidth="1"/>
    <col min="11004" max="11004" width="16.42578125" customWidth="1"/>
    <col min="11005" max="11005" width="16" bestFit="1" customWidth="1"/>
    <col min="11006" max="11006" width="29.140625" customWidth="1"/>
    <col min="11007" max="11007" width="15.7109375" customWidth="1"/>
    <col min="11008" max="11009" width="6.42578125" customWidth="1"/>
    <col min="11010" max="11010" width="24.5703125" customWidth="1"/>
    <col min="11011" max="11011" width="34.7109375" customWidth="1"/>
    <col min="11012" max="11012" width="16.42578125" customWidth="1"/>
    <col min="11013" max="11013" width="16" bestFit="1" customWidth="1"/>
    <col min="11014" max="11014" width="29.140625" customWidth="1"/>
    <col min="11015" max="11015" width="15.7109375" customWidth="1"/>
    <col min="11016" max="11017" width="6.42578125" customWidth="1"/>
    <col min="11018" max="11018" width="24.5703125" customWidth="1"/>
    <col min="11019" max="11019" width="34.7109375" customWidth="1"/>
    <col min="11020" max="11020" width="16.42578125" customWidth="1"/>
    <col min="11021" max="11021" width="16" bestFit="1" customWidth="1"/>
    <col min="11022" max="11022" width="29.140625" customWidth="1"/>
    <col min="11023" max="11023" width="15.7109375" customWidth="1"/>
    <col min="11024" max="11025" width="6.42578125" customWidth="1"/>
    <col min="11026" max="11026" width="24.5703125" customWidth="1"/>
    <col min="11027" max="11027" width="34.7109375" customWidth="1"/>
    <col min="11028" max="11028" width="16.42578125" customWidth="1"/>
    <col min="11029" max="11029" width="16" bestFit="1" customWidth="1"/>
    <col min="11030" max="11030" width="29.140625" customWidth="1"/>
    <col min="11031" max="11031" width="15.7109375" customWidth="1"/>
    <col min="11032" max="11033" width="6.42578125" customWidth="1"/>
    <col min="11034" max="11034" width="24.5703125" customWidth="1"/>
    <col min="11035" max="11035" width="34.7109375" customWidth="1"/>
    <col min="11036" max="11036" width="16.42578125" customWidth="1"/>
    <col min="11037" max="11037" width="16" bestFit="1" customWidth="1"/>
    <col min="11038" max="11038" width="29.140625" customWidth="1"/>
    <col min="11039" max="11039" width="15.7109375" customWidth="1"/>
    <col min="11040" max="11041" width="6.42578125" customWidth="1"/>
    <col min="11042" max="11042" width="24.5703125" customWidth="1"/>
    <col min="11043" max="11043" width="34.7109375" customWidth="1"/>
    <col min="11044" max="11044" width="16.42578125" customWidth="1"/>
    <col min="11045" max="11045" width="16" bestFit="1" customWidth="1"/>
    <col min="11046" max="11046" width="29.140625" customWidth="1"/>
    <col min="11047" max="11047" width="15.7109375" customWidth="1"/>
    <col min="11048" max="11049" width="6.42578125" customWidth="1"/>
    <col min="11050" max="11050" width="24.5703125" customWidth="1"/>
    <col min="11051" max="11051" width="34.7109375" customWidth="1"/>
    <col min="11052" max="11052" width="16.42578125" customWidth="1"/>
    <col min="11053" max="11053" width="16" bestFit="1" customWidth="1"/>
    <col min="11054" max="11054" width="29.140625" customWidth="1"/>
    <col min="11055" max="11055" width="15.7109375" customWidth="1"/>
    <col min="11056" max="11057" width="6.42578125" customWidth="1"/>
    <col min="11058" max="11058" width="24.5703125" customWidth="1"/>
    <col min="11059" max="11059" width="34.7109375" customWidth="1"/>
    <col min="11060" max="11060" width="16.42578125" customWidth="1"/>
    <col min="11061" max="11061" width="16" bestFit="1" customWidth="1"/>
    <col min="11062" max="11062" width="29.140625" customWidth="1"/>
    <col min="11063" max="11063" width="15.7109375" customWidth="1"/>
    <col min="11064" max="11065" width="6.42578125" customWidth="1"/>
    <col min="11066" max="11066" width="24.5703125" customWidth="1"/>
    <col min="11067" max="11067" width="34.7109375" customWidth="1"/>
    <col min="11068" max="11068" width="16.42578125" customWidth="1"/>
    <col min="11069" max="11069" width="16" bestFit="1" customWidth="1"/>
    <col min="11070" max="11070" width="29.140625" customWidth="1"/>
    <col min="11071" max="11071" width="15.7109375" customWidth="1"/>
    <col min="11072" max="11073" width="6.42578125" customWidth="1"/>
    <col min="11074" max="11074" width="24.5703125" customWidth="1"/>
    <col min="11075" max="11075" width="34.7109375" customWidth="1"/>
    <col min="11076" max="11076" width="16.42578125" customWidth="1"/>
    <col min="11077" max="11077" width="16" bestFit="1" customWidth="1"/>
    <col min="11078" max="11078" width="29.140625" customWidth="1"/>
    <col min="11079" max="11079" width="15.7109375" customWidth="1"/>
    <col min="11080" max="11081" width="6.42578125" customWidth="1"/>
    <col min="11082" max="11082" width="24.5703125" customWidth="1"/>
    <col min="11083" max="11083" width="34.7109375" customWidth="1"/>
    <col min="11084" max="11084" width="16.42578125" customWidth="1"/>
    <col min="11085" max="11085" width="16" bestFit="1" customWidth="1"/>
    <col min="11086" max="11086" width="29.140625" customWidth="1"/>
    <col min="11087" max="11087" width="15.7109375" customWidth="1"/>
    <col min="11088" max="11089" width="6.42578125" customWidth="1"/>
    <col min="11090" max="11090" width="24.5703125" customWidth="1"/>
    <col min="11091" max="11091" width="34.7109375" customWidth="1"/>
    <col min="11092" max="11092" width="16.42578125" customWidth="1"/>
    <col min="11093" max="11093" width="16" bestFit="1" customWidth="1"/>
    <col min="11094" max="11094" width="29.140625" customWidth="1"/>
    <col min="11095" max="11095" width="15.7109375" customWidth="1"/>
    <col min="11096" max="11097" width="6.42578125" customWidth="1"/>
    <col min="11098" max="11098" width="24.5703125" customWidth="1"/>
    <col min="11099" max="11099" width="34.7109375" customWidth="1"/>
    <col min="11100" max="11100" width="16.42578125" customWidth="1"/>
    <col min="11101" max="11101" width="16" bestFit="1" customWidth="1"/>
    <col min="11102" max="11102" width="29.140625" customWidth="1"/>
    <col min="11103" max="11103" width="15.7109375" customWidth="1"/>
    <col min="11104" max="11105" width="6.42578125" customWidth="1"/>
    <col min="11106" max="11106" width="24.5703125" customWidth="1"/>
    <col min="11107" max="11107" width="34.7109375" customWidth="1"/>
    <col min="11108" max="11108" width="16.42578125" customWidth="1"/>
    <col min="11109" max="11109" width="16" bestFit="1" customWidth="1"/>
    <col min="11110" max="11110" width="29.140625" customWidth="1"/>
    <col min="11111" max="11111" width="15.7109375" customWidth="1"/>
    <col min="11112" max="11113" width="6.42578125" customWidth="1"/>
    <col min="11114" max="11114" width="24.5703125" customWidth="1"/>
    <col min="11115" max="11115" width="34.7109375" customWidth="1"/>
    <col min="11116" max="11116" width="16.42578125" customWidth="1"/>
    <col min="11117" max="11117" width="16" bestFit="1" customWidth="1"/>
    <col min="11118" max="11118" width="29.140625" customWidth="1"/>
    <col min="11119" max="11119" width="15.7109375" customWidth="1"/>
    <col min="11120" max="11121" width="6.42578125" customWidth="1"/>
    <col min="11122" max="11122" width="24.5703125" customWidth="1"/>
    <col min="11123" max="11123" width="34.7109375" customWidth="1"/>
    <col min="11124" max="11124" width="16.42578125" customWidth="1"/>
    <col min="11125" max="11125" width="16" bestFit="1" customWidth="1"/>
    <col min="11126" max="11126" width="29.140625" customWidth="1"/>
    <col min="11127" max="11127" width="15.7109375" customWidth="1"/>
    <col min="11128" max="11129" width="6.42578125" customWidth="1"/>
    <col min="11130" max="11130" width="24.5703125" customWidth="1"/>
    <col min="11131" max="11131" width="34.7109375" customWidth="1"/>
    <col min="11132" max="11132" width="16.42578125" customWidth="1"/>
    <col min="11133" max="11133" width="16" bestFit="1" customWidth="1"/>
    <col min="11134" max="11134" width="29.140625" customWidth="1"/>
    <col min="11135" max="11135" width="15.7109375" customWidth="1"/>
    <col min="11136" max="11137" width="6.42578125" customWidth="1"/>
    <col min="11138" max="11138" width="24.5703125" customWidth="1"/>
    <col min="11139" max="11139" width="34.7109375" customWidth="1"/>
    <col min="11140" max="11140" width="16.42578125" customWidth="1"/>
    <col min="11141" max="11141" width="16" bestFit="1" customWidth="1"/>
    <col min="11142" max="11142" width="29.140625" customWidth="1"/>
    <col min="11143" max="11143" width="15.7109375" customWidth="1"/>
    <col min="11144" max="11145" width="6.42578125" customWidth="1"/>
    <col min="11146" max="11146" width="24.5703125" customWidth="1"/>
    <col min="11147" max="11147" width="34.7109375" customWidth="1"/>
    <col min="11148" max="11148" width="16.42578125" customWidth="1"/>
    <col min="11149" max="11149" width="16" bestFit="1" customWidth="1"/>
    <col min="11150" max="11150" width="29.140625" customWidth="1"/>
    <col min="11151" max="11151" width="15.7109375" customWidth="1"/>
    <col min="11152" max="11153" width="6.42578125" customWidth="1"/>
    <col min="11154" max="11154" width="24.5703125" customWidth="1"/>
    <col min="11155" max="11155" width="34.7109375" customWidth="1"/>
    <col min="11156" max="11156" width="16.42578125" customWidth="1"/>
    <col min="11157" max="11157" width="16" bestFit="1" customWidth="1"/>
    <col min="11158" max="11158" width="29.140625" customWidth="1"/>
    <col min="11159" max="11159" width="15.7109375" customWidth="1"/>
    <col min="11160" max="11161" width="6.42578125" customWidth="1"/>
    <col min="11162" max="11162" width="24.5703125" customWidth="1"/>
    <col min="11163" max="11163" width="34.7109375" customWidth="1"/>
    <col min="11164" max="11164" width="16.42578125" customWidth="1"/>
    <col min="11165" max="11165" width="16" bestFit="1" customWidth="1"/>
    <col min="11166" max="11166" width="29.140625" customWidth="1"/>
    <col min="11167" max="11167" width="15.7109375" customWidth="1"/>
    <col min="11168" max="11169" width="6.42578125" customWidth="1"/>
    <col min="11170" max="11170" width="24.5703125" customWidth="1"/>
    <col min="11171" max="11171" width="34.7109375" customWidth="1"/>
    <col min="11172" max="11172" width="16.42578125" customWidth="1"/>
    <col min="11173" max="11173" width="16" bestFit="1" customWidth="1"/>
    <col min="11174" max="11174" width="29.140625" customWidth="1"/>
    <col min="11175" max="11175" width="15.7109375" customWidth="1"/>
    <col min="11176" max="11177" width="6.42578125" customWidth="1"/>
    <col min="11178" max="11178" width="24.5703125" customWidth="1"/>
    <col min="11179" max="11179" width="34.7109375" customWidth="1"/>
    <col min="11180" max="11180" width="16.42578125" customWidth="1"/>
    <col min="11181" max="11181" width="16" bestFit="1" customWidth="1"/>
    <col min="11182" max="11182" width="29.140625" customWidth="1"/>
    <col min="11183" max="11183" width="15.7109375" customWidth="1"/>
    <col min="11184" max="11185" width="6.42578125" customWidth="1"/>
    <col min="11186" max="11186" width="24.5703125" customWidth="1"/>
    <col min="11187" max="11187" width="34.7109375" customWidth="1"/>
    <col min="11188" max="11188" width="16.42578125" customWidth="1"/>
    <col min="11189" max="11189" width="16" bestFit="1" customWidth="1"/>
    <col min="11190" max="11190" width="29.140625" customWidth="1"/>
    <col min="11191" max="11191" width="15.7109375" customWidth="1"/>
    <col min="11192" max="11193" width="6.42578125" customWidth="1"/>
    <col min="11194" max="11194" width="24.5703125" customWidth="1"/>
    <col min="11195" max="11195" width="34.7109375" customWidth="1"/>
    <col min="11196" max="11196" width="16.42578125" customWidth="1"/>
    <col min="11197" max="11197" width="16" bestFit="1" customWidth="1"/>
    <col min="11198" max="11198" width="29.140625" customWidth="1"/>
    <col min="11199" max="11199" width="15.7109375" customWidth="1"/>
    <col min="11200" max="11201" width="6.42578125" customWidth="1"/>
    <col min="11202" max="11202" width="24.5703125" customWidth="1"/>
    <col min="11203" max="11203" width="34.7109375" customWidth="1"/>
    <col min="11204" max="11204" width="16.42578125" customWidth="1"/>
    <col min="11205" max="11205" width="16" bestFit="1" customWidth="1"/>
    <col min="11206" max="11206" width="29.140625" customWidth="1"/>
    <col min="11207" max="11207" width="15.7109375" customWidth="1"/>
    <col min="11208" max="11209" width="6.42578125" customWidth="1"/>
    <col min="11210" max="11210" width="24.5703125" customWidth="1"/>
    <col min="11211" max="11211" width="34.7109375" customWidth="1"/>
    <col min="11212" max="11212" width="16.42578125" customWidth="1"/>
    <col min="11213" max="11213" width="16" bestFit="1" customWidth="1"/>
    <col min="11214" max="11214" width="29.140625" customWidth="1"/>
    <col min="11215" max="11215" width="15.7109375" customWidth="1"/>
    <col min="11216" max="11217" width="6.42578125" customWidth="1"/>
    <col min="11218" max="11218" width="24.5703125" customWidth="1"/>
    <col min="11219" max="11219" width="34.7109375" customWidth="1"/>
    <col min="11220" max="11220" width="16.42578125" customWidth="1"/>
    <col min="11221" max="11221" width="16" bestFit="1" customWidth="1"/>
    <col min="11222" max="11222" width="29.140625" customWidth="1"/>
    <col min="11223" max="11223" width="15.7109375" customWidth="1"/>
    <col min="11224" max="11225" width="6.42578125" customWidth="1"/>
    <col min="11226" max="11226" width="24.5703125" customWidth="1"/>
    <col min="11227" max="11227" width="34.7109375" customWidth="1"/>
    <col min="11228" max="11228" width="16.42578125" customWidth="1"/>
    <col min="11229" max="11229" width="16" bestFit="1" customWidth="1"/>
    <col min="11230" max="11230" width="29.140625" customWidth="1"/>
    <col min="11231" max="11231" width="15.7109375" customWidth="1"/>
    <col min="11232" max="11233" width="6.42578125" customWidth="1"/>
    <col min="11234" max="11234" width="24.5703125" customWidth="1"/>
    <col min="11235" max="11235" width="34.7109375" customWidth="1"/>
    <col min="11236" max="11236" width="16.42578125" customWidth="1"/>
    <col min="11237" max="11237" width="16" bestFit="1" customWidth="1"/>
    <col min="11238" max="11238" width="29.140625" customWidth="1"/>
    <col min="11239" max="11239" width="15.7109375" customWidth="1"/>
    <col min="11240" max="11241" width="6.42578125" customWidth="1"/>
    <col min="11242" max="11242" width="24.5703125" customWidth="1"/>
    <col min="11243" max="11243" width="34.7109375" customWidth="1"/>
    <col min="11244" max="11244" width="16.42578125" customWidth="1"/>
    <col min="11245" max="11245" width="16" bestFit="1" customWidth="1"/>
    <col min="11246" max="11246" width="29.140625" customWidth="1"/>
    <col min="11247" max="11247" width="15.7109375" customWidth="1"/>
    <col min="11248" max="11249" width="6.42578125" customWidth="1"/>
    <col min="11250" max="11250" width="24.5703125" customWidth="1"/>
    <col min="11251" max="11251" width="34.7109375" customWidth="1"/>
    <col min="11252" max="11252" width="16.42578125" customWidth="1"/>
    <col min="11253" max="11253" width="16" bestFit="1" customWidth="1"/>
    <col min="11254" max="11254" width="29.140625" customWidth="1"/>
    <col min="11255" max="11255" width="15.7109375" customWidth="1"/>
    <col min="11256" max="11257" width="6.42578125" customWidth="1"/>
    <col min="11258" max="11258" width="24.5703125" customWidth="1"/>
    <col min="11259" max="11259" width="34.7109375" customWidth="1"/>
    <col min="11260" max="11260" width="16.42578125" customWidth="1"/>
    <col min="11261" max="11261" width="16" bestFit="1" customWidth="1"/>
    <col min="11262" max="11262" width="29.140625" customWidth="1"/>
    <col min="11263" max="11263" width="15.7109375" customWidth="1"/>
    <col min="11264" max="11265" width="6.42578125" customWidth="1"/>
    <col min="11266" max="11266" width="24.5703125" customWidth="1"/>
    <col min="11267" max="11267" width="34.7109375" customWidth="1"/>
    <col min="11268" max="11268" width="16.42578125" customWidth="1"/>
    <col min="11269" max="11269" width="16" bestFit="1" customWidth="1"/>
    <col min="11270" max="11270" width="29.140625" customWidth="1"/>
    <col min="11271" max="11271" width="15.7109375" customWidth="1"/>
    <col min="11272" max="11273" width="6.42578125" customWidth="1"/>
    <col min="11274" max="11274" width="24.5703125" customWidth="1"/>
    <col min="11275" max="11275" width="34.7109375" customWidth="1"/>
    <col min="11276" max="11276" width="16.42578125" customWidth="1"/>
    <col min="11277" max="11277" width="16" bestFit="1" customWidth="1"/>
    <col min="11278" max="11278" width="29.140625" customWidth="1"/>
    <col min="11279" max="11279" width="15.7109375" customWidth="1"/>
    <col min="11280" max="11281" width="6.42578125" customWidth="1"/>
    <col min="11282" max="11282" width="24.5703125" customWidth="1"/>
    <col min="11283" max="11283" width="34.7109375" customWidth="1"/>
    <col min="11284" max="11284" width="16.42578125" customWidth="1"/>
    <col min="11285" max="11285" width="16" bestFit="1" customWidth="1"/>
    <col min="11286" max="11286" width="29.140625" customWidth="1"/>
    <col min="11287" max="11287" width="15.7109375" customWidth="1"/>
    <col min="11288" max="11289" width="6.42578125" customWidth="1"/>
    <col min="11290" max="11290" width="24.5703125" customWidth="1"/>
    <col min="11291" max="11291" width="34.7109375" customWidth="1"/>
    <col min="11292" max="11292" width="16.42578125" customWidth="1"/>
    <col min="11293" max="11293" width="16" bestFit="1" customWidth="1"/>
    <col min="11294" max="11294" width="29.140625" customWidth="1"/>
    <col min="11295" max="11295" width="15.7109375" customWidth="1"/>
    <col min="11296" max="11297" width="6.42578125" customWidth="1"/>
    <col min="11298" max="11298" width="24.5703125" customWidth="1"/>
    <col min="11299" max="11299" width="34.7109375" customWidth="1"/>
    <col min="11300" max="11300" width="16.42578125" customWidth="1"/>
    <col min="11301" max="11301" width="16" bestFit="1" customWidth="1"/>
    <col min="11302" max="11302" width="29.140625" customWidth="1"/>
    <col min="11303" max="11303" width="15.7109375" customWidth="1"/>
    <col min="11304" max="11305" width="6.42578125" customWidth="1"/>
    <col min="11306" max="11306" width="24.5703125" customWidth="1"/>
    <col min="11307" max="11307" width="34.7109375" customWidth="1"/>
    <col min="11308" max="11308" width="16.42578125" customWidth="1"/>
    <col min="11309" max="11309" width="16" bestFit="1" customWidth="1"/>
    <col min="11310" max="11310" width="29.140625" customWidth="1"/>
    <col min="11311" max="11311" width="15.7109375" customWidth="1"/>
    <col min="11312" max="11313" width="6.42578125" customWidth="1"/>
    <col min="11314" max="11314" width="24.5703125" customWidth="1"/>
    <col min="11315" max="11315" width="34.7109375" customWidth="1"/>
    <col min="11316" max="11316" width="16.42578125" customWidth="1"/>
    <col min="11317" max="11317" width="16" bestFit="1" customWidth="1"/>
    <col min="11318" max="11318" width="29.140625" customWidth="1"/>
    <col min="11319" max="11319" width="15.7109375" customWidth="1"/>
    <col min="11320" max="11321" width="6.42578125" customWidth="1"/>
    <col min="11322" max="11322" width="24.5703125" customWidth="1"/>
    <col min="11323" max="11323" width="34.7109375" customWidth="1"/>
    <col min="11324" max="11324" width="16.42578125" customWidth="1"/>
    <col min="11325" max="11325" width="16" bestFit="1" customWidth="1"/>
    <col min="11326" max="11326" width="29.140625" customWidth="1"/>
    <col min="11327" max="11327" width="15.7109375" customWidth="1"/>
    <col min="11328" max="11329" width="6.42578125" customWidth="1"/>
    <col min="11330" max="11330" width="24.5703125" customWidth="1"/>
    <col min="11331" max="11331" width="34.7109375" customWidth="1"/>
    <col min="11332" max="11332" width="16.42578125" customWidth="1"/>
    <col min="11333" max="11333" width="16" bestFit="1" customWidth="1"/>
    <col min="11334" max="11334" width="29.140625" customWidth="1"/>
    <col min="11335" max="11335" width="15.7109375" customWidth="1"/>
    <col min="11336" max="11337" width="6.42578125" customWidth="1"/>
    <col min="11338" max="11338" width="24.5703125" customWidth="1"/>
    <col min="11339" max="11339" width="34.7109375" customWidth="1"/>
    <col min="11340" max="11340" width="16.42578125" customWidth="1"/>
    <col min="11341" max="11341" width="16" bestFit="1" customWidth="1"/>
    <col min="11342" max="11342" width="29.140625" customWidth="1"/>
    <col min="11343" max="11343" width="15.7109375" customWidth="1"/>
    <col min="11344" max="11345" width="6.42578125" customWidth="1"/>
    <col min="11346" max="11346" width="24.5703125" customWidth="1"/>
    <col min="11347" max="11347" width="34.7109375" customWidth="1"/>
    <col min="11348" max="11348" width="16.42578125" customWidth="1"/>
    <col min="11349" max="11349" width="16" bestFit="1" customWidth="1"/>
    <col min="11350" max="11350" width="29.140625" customWidth="1"/>
    <col min="11351" max="11351" width="15.7109375" customWidth="1"/>
    <col min="11352" max="11353" width="6.42578125" customWidth="1"/>
    <col min="11354" max="11354" width="24.5703125" customWidth="1"/>
    <col min="11355" max="11355" width="34.7109375" customWidth="1"/>
    <col min="11356" max="11356" width="16.42578125" customWidth="1"/>
    <col min="11357" max="11357" width="16" bestFit="1" customWidth="1"/>
    <col min="11358" max="11358" width="29.140625" customWidth="1"/>
    <col min="11359" max="11359" width="15.7109375" customWidth="1"/>
    <col min="11360" max="11361" width="6.42578125" customWidth="1"/>
    <col min="11362" max="11362" width="24.5703125" customWidth="1"/>
    <col min="11363" max="11363" width="34.7109375" customWidth="1"/>
    <col min="11364" max="11364" width="16.42578125" customWidth="1"/>
    <col min="11365" max="11365" width="16" bestFit="1" customWidth="1"/>
    <col min="11366" max="11366" width="29.140625" customWidth="1"/>
    <col min="11367" max="11367" width="15.7109375" customWidth="1"/>
    <col min="11368" max="11369" width="6.42578125" customWidth="1"/>
    <col min="11370" max="11370" width="24.5703125" customWidth="1"/>
    <col min="11371" max="11371" width="34.7109375" customWidth="1"/>
    <col min="11372" max="11372" width="16.42578125" customWidth="1"/>
    <col min="11373" max="11373" width="16" bestFit="1" customWidth="1"/>
    <col min="11374" max="11374" width="29.140625" customWidth="1"/>
    <col min="11375" max="11375" width="15.7109375" customWidth="1"/>
    <col min="11376" max="11377" width="6.42578125" customWidth="1"/>
    <col min="11378" max="11378" width="24.5703125" customWidth="1"/>
    <col min="11379" max="11379" width="34.7109375" customWidth="1"/>
    <col min="11380" max="11380" width="16.42578125" customWidth="1"/>
    <col min="11381" max="11381" width="16" bestFit="1" customWidth="1"/>
    <col min="11382" max="11382" width="29.140625" customWidth="1"/>
    <col min="11383" max="11383" width="15.7109375" customWidth="1"/>
    <col min="11384" max="11385" width="6.42578125" customWidth="1"/>
    <col min="11386" max="11386" width="24.5703125" customWidth="1"/>
    <col min="11387" max="11387" width="34.7109375" customWidth="1"/>
    <col min="11388" max="11388" width="16.42578125" customWidth="1"/>
    <col min="11389" max="11389" width="16" bestFit="1" customWidth="1"/>
    <col min="11390" max="11390" width="29.140625" customWidth="1"/>
    <col min="11391" max="11391" width="15.7109375" customWidth="1"/>
    <col min="11392" max="11393" width="6.42578125" customWidth="1"/>
    <col min="11394" max="11394" width="24.5703125" customWidth="1"/>
    <col min="11395" max="11395" width="34.7109375" customWidth="1"/>
    <col min="11396" max="11396" width="16.42578125" customWidth="1"/>
    <col min="11397" max="11397" width="16" bestFit="1" customWidth="1"/>
    <col min="11398" max="11398" width="29.140625" customWidth="1"/>
    <col min="11399" max="11399" width="15.7109375" customWidth="1"/>
    <col min="11400" max="11401" width="6.42578125" customWidth="1"/>
    <col min="11402" max="11402" width="24.5703125" customWidth="1"/>
    <col min="11403" max="11403" width="34.7109375" customWidth="1"/>
    <col min="11404" max="11404" width="16.42578125" customWidth="1"/>
    <col min="11405" max="11405" width="16" bestFit="1" customWidth="1"/>
    <col min="11406" max="11406" width="29.140625" customWidth="1"/>
    <col min="11407" max="11407" width="15.7109375" customWidth="1"/>
    <col min="11408" max="11409" width="6.42578125" customWidth="1"/>
    <col min="11410" max="11410" width="24.5703125" customWidth="1"/>
    <col min="11411" max="11411" width="34.7109375" customWidth="1"/>
    <col min="11412" max="11412" width="16.42578125" customWidth="1"/>
    <col min="11413" max="11413" width="16" bestFit="1" customWidth="1"/>
    <col min="11414" max="11414" width="29.140625" customWidth="1"/>
    <col min="11415" max="11415" width="15.7109375" customWidth="1"/>
    <col min="11416" max="11417" width="6.42578125" customWidth="1"/>
    <col min="11418" max="11418" width="24.5703125" customWidth="1"/>
    <col min="11419" max="11419" width="34.7109375" customWidth="1"/>
    <col min="11420" max="11420" width="16.42578125" customWidth="1"/>
    <col min="11421" max="11421" width="16" bestFit="1" customWidth="1"/>
    <col min="11422" max="11422" width="29.140625" customWidth="1"/>
    <col min="11423" max="11423" width="15.7109375" customWidth="1"/>
    <col min="11424" max="11425" width="6.42578125" customWidth="1"/>
    <col min="11426" max="11426" width="24.5703125" customWidth="1"/>
    <col min="11427" max="11427" width="34.7109375" customWidth="1"/>
    <col min="11428" max="11428" width="16.42578125" customWidth="1"/>
    <col min="11429" max="11429" width="16" bestFit="1" customWidth="1"/>
    <col min="11430" max="11430" width="29.140625" customWidth="1"/>
    <col min="11431" max="11431" width="15.7109375" customWidth="1"/>
    <col min="11432" max="11433" width="6.42578125" customWidth="1"/>
    <col min="11434" max="11434" width="24.5703125" customWidth="1"/>
    <col min="11435" max="11435" width="34.7109375" customWidth="1"/>
    <col min="11436" max="11436" width="16.42578125" customWidth="1"/>
    <col min="11437" max="11437" width="16" bestFit="1" customWidth="1"/>
    <col min="11438" max="11438" width="29.140625" customWidth="1"/>
    <col min="11439" max="11439" width="15.7109375" customWidth="1"/>
    <col min="11440" max="11441" width="6.42578125" customWidth="1"/>
    <col min="11442" max="11442" width="24.5703125" customWidth="1"/>
    <col min="11443" max="11443" width="34.7109375" customWidth="1"/>
    <col min="11444" max="11444" width="16.42578125" customWidth="1"/>
    <col min="11445" max="11445" width="16" bestFit="1" customWidth="1"/>
    <col min="11446" max="11446" width="29.140625" customWidth="1"/>
    <col min="11447" max="11447" width="15.7109375" customWidth="1"/>
    <col min="11448" max="11449" width="6.42578125" customWidth="1"/>
    <col min="11450" max="11450" width="24.5703125" customWidth="1"/>
    <col min="11451" max="11451" width="34.7109375" customWidth="1"/>
    <col min="11452" max="11452" width="16.42578125" customWidth="1"/>
    <col min="11453" max="11453" width="16" bestFit="1" customWidth="1"/>
    <col min="11454" max="11454" width="29.140625" customWidth="1"/>
    <col min="11455" max="11455" width="15.7109375" customWidth="1"/>
    <col min="11456" max="11457" width="6.42578125" customWidth="1"/>
    <col min="11458" max="11458" width="24.5703125" customWidth="1"/>
    <col min="11459" max="11459" width="34.7109375" customWidth="1"/>
    <col min="11460" max="11460" width="16.42578125" customWidth="1"/>
    <col min="11461" max="11461" width="16" bestFit="1" customWidth="1"/>
    <col min="11462" max="11462" width="29.140625" customWidth="1"/>
    <col min="11463" max="11463" width="15.7109375" customWidth="1"/>
    <col min="11464" max="11465" width="6.42578125" customWidth="1"/>
    <col min="11466" max="11466" width="24.5703125" customWidth="1"/>
    <col min="11467" max="11467" width="34.7109375" customWidth="1"/>
    <col min="11468" max="11468" width="16.42578125" customWidth="1"/>
    <col min="11469" max="11469" width="16" bestFit="1" customWidth="1"/>
    <col min="11470" max="11470" width="29.140625" customWidth="1"/>
    <col min="11471" max="11471" width="15.7109375" customWidth="1"/>
    <col min="11472" max="11473" width="6.42578125" customWidth="1"/>
    <col min="11474" max="11474" width="24.5703125" customWidth="1"/>
    <col min="11475" max="11475" width="34.7109375" customWidth="1"/>
    <col min="11476" max="11476" width="16.42578125" customWidth="1"/>
    <col min="11477" max="11477" width="16" bestFit="1" customWidth="1"/>
    <col min="11478" max="11478" width="29.140625" customWidth="1"/>
    <col min="11479" max="11479" width="15.7109375" customWidth="1"/>
    <col min="11480" max="11481" width="6.42578125" customWidth="1"/>
    <col min="11482" max="11482" width="24.5703125" customWidth="1"/>
    <col min="11483" max="11483" width="34.7109375" customWidth="1"/>
    <col min="11484" max="11484" width="16.42578125" customWidth="1"/>
    <col min="11485" max="11485" width="16" bestFit="1" customWidth="1"/>
    <col min="11486" max="11486" width="29.140625" customWidth="1"/>
    <col min="11487" max="11487" width="15.7109375" customWidth="1"/>
    <col min="11488" max="11489" width="6.42578125" customWidth="1"/>
    <col min="11490" max="11490" width="24.5703125" customWidth="1"/>
    <col min="11491" max="11491" width="34.7109375" customWidth="1"/>
    <col min="11492" max="11492" width="16.42578125" customWidth="1"/>
    <col min="11493" max="11493" width="16" bestFit="1" customWidth="1"/>
    <col min="11494" max="11494" width="29.140625" customWidth="1"/>
    <col min="11495" max="11495" width="15.7109375" customWidth="1"/>
    <col min="11496" max="11497" width="6.42578125" customWidth="1"/>
    <col min="11498" max="11498" width="24.5703125" customWidth="1"/>
    <col min="11499" max="11499" width="34.7109375" customWidth="1"/>
    <col min="11500" max="11500" width="16.42578125" customWidth="1"/>
    <col min="11501" max="11501" width="16" bestFit="1" customWidth="1"/>
    <col min="11502" max="11502" width="29.140625" customWidth="1"/>
    <col min="11503" max="11503" width="15.7109375" customWidth="1"/>
    <col min="11504" max="11505" width="6.42578125" customWidth="1"/>
    <col min="11506" max="11506" width="24.5703125" customWidth="1"/>
    <col min="11507" max="11507" width="34.7109375" customWidth="1"/>
    <col min="11508" max="11508" width="16.42578125" customWidth="1"/>
    <col min="11509" max="11509" width="16" bestFit="1" customWidth="1"/>
    <col min="11510" max="11510" width="29.140625" customWidth="1"/>
    <col min="11511" max="11511" width="15.7109375" customWidth="1"/>
    <col min="11512" max="11513" width="6.42578125" customWidth="1"/>
    <col min="11514" max="11514" width="24.5703125" customWidth="1"/>
    <col min="11515" max="11515" width="34.7109375" customWidth="1"/>
    <col min="11516" max="11516" width="16.42578125" customWidth="1"/>
    <col min="11517" max="11517" width="16" bestFit="1" customWidth="1"/>
    <col min="11518" max="11518" width="29.140625" customWidth="1"/>
    <col min="11519" max="11519" width="15.7109375" customWidth="1"/>
    <col min="11520" max="11521" width="6.42578125" customWidth="1"/>
    <col min="11522" max="11522" width="24.5703125" customWidth="1"/>
    <col min="11523" max="11523" width="34.7109375" customWidth="1"/>
    <col min="11524" max="11524" width="16.42578125" customWidth="1"/>
    <col min="11525" max="11525" width="16" bestFit="1" customWidth="1"/>
    <col min="11526" max="11526" width="29.140625" customWidth="1"/>
    <col min="11527" max="11527" width="15.7109375" customWidth="1"/>
    <col min="11528" max="11529" width="6.42578125" customWidth="1"/>
    <col min="11530" max="11530" width="24.5703125" customWidth="1"/>
    <col min="11531" max="11531" width="34.7109375" customWidth="1"/>
    <col min="11532" max="11532" width="16.42578125" customWidth="1"/>
    <col min="11533" max="11533" width="16" bestFit="1" customWidth="1"/>
    <col min="11534" max="11534" width="29.140625" customWidth="1"/>
    <col min="11535" max="11535" width="15.7109375" customWidth="1"/>
    <col min="11536" max="11537" width="6.42578125" customWidth="1"/>
    <col min="11538" max="11538" width="24.5703125" customWidth="1"/>
    <col min="11539" max="11539" width="34.7109375" customWidth="1"/>
    <col min="11540" max="11540" width="16.42578125" customWidth="1"/>
    <col min="11541" max="11541" width="16" bestFit="1" customWidth="1"/>
    <col min="11542" max="11542" width="29.140625" customWidth="1"/>
    <col min="11543" max="11543" width="15.7109375" customWidth="1"/>
    <col min="11544" max="11545" width="6.42578125" customWidth="1"/>
    <col min="11546" max="11546" width="24.5703125" customWidth="1"/>
    <col min="11547" max="11547" width="34.7109375" customWidth="1"/>
    <col min="11548" max="11548" width="16.42578125" customWidth="1"/>
    <col min="11549" max="11549" width="16" bestFit="1" customWidth="1"/>
    <col min="11550" max="11550" width="29.140625" customWidth="1"/>
    <col min="11551" max="11551" width="15.7109375" customWidth="1"/>
    <col min="11552" max="11553" width="6.42578125" customWidth="1"/>
    <col min="11554" max="11554" width="24.5703125" customWidth="1"/>
    <col min="11555" max="11555" width="34.7109375" customWidth="1"/>
    <col min="11556" max="11556" width="16.42578125" customWidth="1"/>
    <col min="11557" max="11557" width="16" bestFit="1" customWidth="1"/>
    <col min="11558" max="11558" width="29.140625" customWidth="1"/>
    <col min="11559" max="11559" width="15.7109375" customWidth="1"/>
    <col min="11560" max="11561" width="6.42578125" customWidth="1"/>
    <col min="11562" max="11562" width="24.5703125" customWidth="1"/>
    <col min="11563" max="11563" width="34.7109375" customWidth="1"/>
    <col min="11564" max="11564" width="16.42578125" customWidth="1"/>
    <col min="11565" max="11565" width="16" bestFit="1" customWidth="1"/>
    <col min="11566" max="11566" width="29.140625" customWidth="1"/>
    <col min="11567" max="11567" width="15.7109375" customWidth="1"/>
    <col min="11568" max="11569" width="6.42578125" customWidth="1"/>
    <col min="11570" max="11570" width="24.5703125" customWidth="1"/>
    <col min="11571" max="11571" width="34.7109375" customWidth="1"/>
    <col min="11572" max="11572" width="16.42578125" customWidth="1"/>
    <col min="11573" max="11573" width="16" bestFit="1" customWidth="1"/>
    <col min="11574" max="11574" width="29.140625" customWidth="1"/>
    <col min="11575" max="11575" width="15.7109375" customWidth="1"/>
    <col min="11576" max="11577" width="6.42578125" customWidth="1"/>
    <col min="11578" max="11578" width="24.5703125" customWidth="1"/>
    <col min="11579" max="11579" width="34.7109375" customWidth="1"/>
    <col min="11580" max="11580" width="16.42578125" customWidth="1"/>
    <col min="11581" max="11581" width="16" bestFit="1" customWidth="1"/>
    <col min="11582" max="11582" width="29.140625" customWidth="1"/>
    <col min="11583" max="11583" width="15.7109375" customWidth="1"/>
    <col min="11584" max="11585" width="6.42578125" customWidth="1"/>
    <col min="11586" max="11586" width="24.5703125" customWidth="1"/>
    <col min="11587" max="11587" width="34.7109375" customWidth="1"/>
    <col min="11588" max="11588" width="16.42578125" customWidth="1"/>
    <col min="11589" max="11589" width="16" bestFit="1" customWidth="1"/>
    <col min="11590" max="11590" width="29.140625" customWidth="1"/>
    <col min="11591" max="11591" width="15.7109375" customWidth="1"/>
    <col min="11592" max="11593" width="6.42578125" customWidth="1"/>
    <col min="11594" max="11594" width="24.5703125" customWidth="1"/>
    <col min="11595" max="11595" width="34.7109375" customWidth="1"/>
    <col min="11596" max="11596" width="16.42578125" customWidth="1"/>
    <col min="11597" max="11597" width="16" bestFit="1" customWidth="1"/>
    <col min="11598" max="11598" width="29.140625" customWidth="1"/>
    <col min="11599" max="11599" width="15.7109375" customWidth="1"/>
    <col min="11600" max="11601" width="6.42578125" customWidth="1"/>
    <col min="11602" max="11602" width="24.5703125" customWidth="1"/>
    <col min="11603" max="11603" width="34.7109375" customWidth="1"/>
    <col min="11604" max="11604" width="16.42578125" customWidth="1"/>
    <col min="11605" max="11605" width="16" bestFit="1" customWidth="1"/>
    <col min="11606" max="11606" width="29.140625" customWidth="1"/>
    <col min="11607" max="11607" width="15.7109375" customWidth="1"/>
    <col min="11608" max="11609" width="6.42578125" customWidth="1"/>
    <col min="11610" max="11610" width="24.5703125" customWidth="1"/>
    <col min="11611" max="11611" width="34.7109375" customWidth="1"/>
    <col min="11612" max="11612" width="16.42578125" customWidth="1"/>
    <col min="11613" max="11613" width="16" bestFit="1" customWidth="1"/>
    <col min="11614" max="11614" width="29.140625" customWidth="1"/>
    <col min="11615" max="11615" width="15.7109375" customWidth="1"/>
    <col min="11616" max="11617" width="6.42578125" customWidth="1"/>
    <col min="11618" max="11618" width="24.5703125" customWidth="1"/>
    <col min="11619" max="11619" width="34.7109375" customWidth="1"/>
    <col min="11620" max="11620" width="16.42578125" customWidth="1"/>
    <col min="11621" max="11621" width="16" bestFit="1" customWidth="1"/>
    <col min="11622" max="11622" width="29.140625" customWidth="1"/>
    <col min="11623" max="11623" width="15.7109375" customWidth="1"/>
    <col min="11624" max="11625" width="6.42578125" customWidth="1"/>
    <col min="11626" max="11626" width="24.5703125" customWidth="1"/>
    <col min="11627" max="11627" width="34.7109375" customWidth="1"/>
    <col min="11628" max="11628" width="16.42578125" customWidth="1"/>
    <col min="11629" max="11629" width="16" bestFit="1" customWidth="1"/>
    <col min="11630" max="11630" width="29.140625" customWidth="1"/>
    <col min="11631" max="11631" width="15.7109375" customWidth="1"/>
    <col min="11632" max="11633" width="6.42578125" customWidth="1"/>
    <col min="11634" max="11634" width="24.5703125" customWidth="1"/>
    <col min="11635" max="11635" width="34.7109375" customWidth="1"/>
    <col min="11636" max="11636" width="16.42578125" customWidth="1"/>
    <col min="11637" max="11637" width="16" bestFit="1" customWidth="1"/>
    <col min="11638" max="11638" width="29.140625" customWidth="1"/>
    <col min="11639" max="11639" width="15.7109375" customWidth="1"/>
    <col min="11640" max="11641" width="6.42578125" customWidth="1"/>
    <col min="11642" max="11642" width="24.5703125" customWidth="1"/>
    <col min="11643" max="11643" width="34.7109375" customWidth="1"/>
    <col min="11644" max="11644" width="16.42578125" customWidth="1"/>
    <col min="11645" max="11645" width="16" bestFit="1" customWidth="1"/>
    <col min="11646" max="11646" width="29.140625" customWidth="1"/>
    <col min="11647" max="11647" width="15.7109375" customWidth="1"/>
    <col min="11648" max="11649" width="6.42578125" customWidth="1"/>
    <col min="11650" max="11650" width="24.5703125" customWidth="1"/>
    <col min="11651" max="11651" width="34.7109375" customWidth="1"/>
    <col min="11652" max="11652" width="16.42578125" customWidth="1"/>
    <col min="11653" max="11653" width="16" bestFit="1" customWidth="1"/>
    <col min="11654" max="11654" width="29.140625" customWidth="1"/>
    <col min="11655" max="11655" width="15.7109375" customWidth="1"/>
    <col min="11656" max="11657" width="6.42578125" customWidth="1"/>
    <col min="11658" max="11658" width="24.5703125" customWidth="1"/>
    <col min="11659" max="11659" width="34.7109375" customWidth="1"/>
    <col min="11660" max="11660" width="16.42578125" customWidth="1"/>
    <col min="11661" max="11661" width="16" bestFit="1" customWidth="1"/>
    <col min="11662" max="11662" width="29.140625" customWidth="1"/>
    <col min="11663" max="11663" width="15.7109375" customWidth="1"/>
    <col min="11664" max="11665" width="6.42578125" customWidth="1"/>
    <col min="11666" max="11666" width="24.5703125" customWidth="1"/>
    <col min="11667" max="11667" width="34.7109375" customWidth="1"/>
    <col min="11668" max="11668" width="16.42578125" customWidth="1"/>
    <col min="11669" max="11669" width="16" bestFit="1" customWidth="1"/>
    <col min="11670" max="11670" width="29.140625" customWidth="1"/>
    <col min="11671" max="11671" width="15.7109375" customWidth="1"/>
    <col min="11672" max="11673" width="6.42578125" customWidth="1"/>
    <col min="11674" max="11674" width="24.5703125" customWidth="1"/>
    <col min="11675" max="11675" width="34.7109375" customWidth="1"/>
    <col min="11676" max="11676" width="16.42578125" customWidth="1"/>
    <col min="11677" max="11677" width="16" bestFit="1" customWidth="1"/>
    <col min="11678" max="11678" width="29.140625" customWidth="1"/>
    <col min="11679" max="11679" width="15.7109375" customWidth="1"/>
    <col min="11680" max="11681" width="6.42578125" customWidth="1"/>
    <col min="11682" max="11682" width="24.5703125" customWidth="1"/>
    <col min="11683" max="11683" width="34.7109375" customWidth="1"/>
    <col min="11684" max="11684" width="16.42578125" customWidth="1"/>
    <col min="11685" max="11685" width="16" bestFit="1" customWidth="1"/>
    <col min="11686" max="11686" width="29.140625" customWidth="1"/>
    <col min="11687" max="11687" width="15.7109375" customWidth="1"/>
    <col min="11688" max="11689" width="6.42578125" customWidth="1"/>
    <col min="11690" max="11690" width="24.5703125" customWidth="1"/>
    <col min="11691" max="11691" width="34.7109375" customWidth="1"/>
    <col min="11692" max="11692" width="16.42578125" customWidth="1"/>
    <col min="11693" max="11693" width="16" bestFit="1" customWidth="1"/>
    <col min="11694" max="11694" width="29.140625" customWidth="1"/>
    <col min="11695" max="11695" width="15.7109375" customWidth="1"/>
    <col min="11696" max="11697" width="6.42578125" customWidth="1"/>
    <col min="11698" max="11698" width="24.5703125" customWidth="1"/>
    <col min="11699" max="11699" width="34.7109375" customWidth="1"/>
    <col min="11700" max="11700" width="16.42578125" customWidth="1"/>
    <col min="11701" max="11701" width="16" bestFit="1" customWidth="1"/>
    <col min="11702" max="11702" width="29.140625" customWidth="1"/>
    <col min="11703" max="11703" width="15.7109375" customWidth="1"/>
    <col min="11704" max="11705" width="6.42578125" customWidth="1"/>
    <col min="11706" max="11706" width="24.5703125" customWidth="1"/>
    <col min="11707" max="11707" width="34.7109375" customWidth="1"/>
    <col min="11708" max="11708" width="16.42578125" customWidth="1"/>
    <col min="11709" max="11709" width="16" bestFit="1" customWidth="1"/>
    <col min="11710" max="11710" width="29.140625" customWidth="1"/>
    <col min="11711" max="11711" width="15.7109375" customWidth="1"/>
    <col min="11712" max="11713" width="6.42578125" customWidth="1"/>
    <col min="11714" max="11714" width="24.5703125" customWidth="1"/>
    <col min="11715" max="11715" width="34.7109375" customWidth="1"/>
    <col min="11716" max="11716" width="16.42578125" customWidth="1"/>
    <col min="11717" max="11717" width="16" bestFit="1" customWidth="1"/>
    <col min="11718" max="11718" width="29.140625" customWidth="1"/>
    <col min="11719" max="11719" width="15.7109375" customWidth="1"/>
    <col min="11720" max="11721" width="6.42578125" customWidth="1"/>
    <col min="11722" max="11722" width="24.5703125" customWidth="1"/>
    <col min="11723" max="11723" width="34.7109375" customWidth="1"/>
    <col min="11724" max="11724" width="16.42578125" customWidth="1"/>
    <col min="11725" max="11725" width="16" bestFit="1" customWidth="1"/>
    <col min="11726" max="11726" width="29.140625" customWidth="1"/>
    <col min="11727" max="11727" width="15.7109375" customWidth="1"/>
    <col min="11728" max="11729" width="6.42578125" customWidth="1"/>
    <col min="11730" max="11730" width="24.5703125" customWidth="1"/>
    <col min="11731" max="11731" width="34.7109375" customWidth="1"/>
    <col min="11732" max="11732" width="16.42578125" customWidth="1"/>
    <col min="11733" max="11733" width="16" bestFit="1" customWidth="1"/>
    <col min="11734" max="11734" width="29.140625" customWidth="1"/>
    <col min="11735" max="11735" width="15.7109375" customWidth="1"/>
    <col min="11736" max="11737" width="6.42578125" customWidth="1"/>
    <col min="11738" max="11738" width="24.5703125" customWidth="1"/>
    <col min="11739" max="11739" width="34.7109375" customWidth="1"/>
    <col min="11740" max="11740" width="16.42578125" customWidth="1"/>
    <col min="11741" max="11741" width="16" bestFit="1" customWidth="1"/>
    <col min="11742" max="11742" width="29.140625" customWidth="1"/>
    <col min="11743" max="11743" width="15.7109375" customWidth="1"/>
    <col min="11744" max="11745" width="6.42578125" customWidth="1"/>
    <col min="11746" max="11746" width="24.5703125" customWidth="1"/>
    <col min="11747" max="11747" width="34.7109375" customWidth="1"/>
    <col min="11748" max="11748" width="16.42578125" customWidth="1"/>
    <col min="11749" max="11749" width="16" bestFit="1" customWidth="1"/>
    <col min="11750" max="11750" width="29.140625" customWidth="1"/>
    <col min="11751" max="11751" width="15.7109375" customWidth="1"/>
    <col min="11752" max="11753" width="6.42578125" customWidth="1"/>
    <col min="11754" max="11754" width="24.5703125" customWidth="1"/>
    <col min="11755" max="11755" width="34.7109375" customWidth="1"/>
    <col min="11756" max="11756" width="16.42578125" customWidth="1"/>
    <col min="11757" max="11757" width="16" bestFit="1" customWidth="1"/>
    <col min="11758" max="11758" width="29.140625" customWidth="1"/>
    <col min="11759" max="11759" width="15.7109375" customWidth="1"/>
    <col min="11760" max="11761" width="6.42578125" customWidth="1"/>
    <col min="11762" max="11762" width="24.5703125" customWidth="1"/>
    <col min="11763" max="11763" width="34.7109375" customWidth="1"/>
    <col min="11764" max="11764" width="16.42578125" customWidth="1"/>
    <col min="11765" max="11765" width="16" bestFit="1" customWidth="1"/>
    <col min="11766" max="11766" width="29.140625" customWidth="1"/>
    <col min="11767" max="11767" width="15.7109375" customWidth="1"/>
    <col min="11768" max="11769" width="6.42578125" customWidth="1"/>
    <col min="11770" max="11770" width="24.5703125" customWidth="1"/>
    <col min="11771" max="11771" width="34.7109375" customWidth="1"/>
    <col min="11772" max="11772" width="16.42578125" customWidth="1"/>
    <col min="11773" max="11773" width="16" bestFit="1" customWidth="1"/>
    <col min="11774" max="11774" width="29.140625" customWidth="1"/>
    <col min="11775" max="11775" width="15.7109375" customWidth="1"/>
    <col min="11776" max="11777" width="6.42578125" customWidth="1"/>
    <col min="11778" max="11778" width="24.5703125" customWidth="1"/>
    <col min="11779" max="11779" width="34.7109375" customWidth="1"/>
    <col min="11780" max="11780" width="16.42578125" customWidth="1"/>
    <col min="11781" max="11781" width="16" bestFit="1" customWidth="1"/>
    <col min="11782" max="11782" width="29.140625" customWidth="1"/>
    <col min="11783" max="11783" width="15.7109375" customWidth="1"/>
    <col min="11784" max="11785" width="6.42578125" customWidth="1"/>
    <col min="11786" max="11786" width="24.5703125" customWidth="1"/>
    <col min="11787" max="11787" width="34.7109375" customWidth="1"/>
    <col min="11788" max="11788" width="16.42578125" customWidth="1"/>
    <col min="11789" max="11789" width="16" bestFit="1" customWidth="1"/>
    <col min="11790" max="11790" width="29.140625" customWidth="1"/>
    <col min="11791" max="11791" width="15.7109375" customWidth="1"/>
    <col min="11792" max="11793" width="6.42578125" customWidth="1"/>
    <col min="11794" max="11794" width="24.5703125" customWidth="1"/>
    <col min="11795" max="11795" width="34.7109375" customWidth="1"/>
    <col min="11796" max="11796" width="16.42578125" customWidth="1"/>
    <col min="11797" max="11797" width="16" bestFit="1" customWidth="1"/>
    <col min="11798" max="11798" width="29.140625" customWidth="1"/>
    <col min="11799" max="11799" width="15.7109375" customWidth="1"/>
    <col min="11800" max="11801" width="6.42578125" customWidth="1"/>
    <col min="11802" max="11802" width="24.5703125" customWidth="1"/>
    <col min="11803" max="11803" width="34.7109375" customWidth="1"/>
    <col min="11804" max="11804" width="16.42578125" customWidth="1"/>
    <col min="11805" max="11805" width="16" bestFit="1" customWidth="1"/>
    <col min="11806" max="11806" width="29.140625" customWidth="1"/>
    <col min="11807" max="11807" width="15.7109375" customWidth="1"/>
    <col min="11808" max="11809" width="6.42578125" customWidth="1"/>
    <col min="11810" max="11810" width="24.5703125" customWidth="1"/>
    <col min="11811" max="11811" width="34.7109375" customWidth="1"/>
    <col min="11812" max="11812" width="16.42578125" customWidth="1"/>
    <col min="11813" max="11813" width="16" bestFit="1" customWidth="1"/>
    <col min="11814" max="11814" width="29.140625" customWidth="1"/>
    <col min="11815" max="11815" width="15.7109375" customWidth="1"/>
    <col min="11816" max="11817" width="6.42578125" customWidth="1"/>
    <col min="11818" max="11818" width="24.5703125" customWidth="1"/>
    <col min="11819" max="11819" width="34.7109375" customWidth="1"/>
    <col min="11820" max="11820" width="16.42578125" customWidth="1"/>
    <col min="11821" max="11821" width="16" bestFit="1" customWidth="1"/>
    <col min="11822" max="11822" width="29.140625" customWidth="1"/>
    <col min="11823" max="11823" width="15.7109375" customWidth="1"/>
    <col min="11824" max="11825" width="6.42578125" customWidth="1"/>
    <col min="11826" max="11826" width="24.5703125" customWidth="1"/>
    <col min="11827" max="11827" width="34.7109375" customWidth="1"/>
    <col min="11828" max="11828" width="16.42578125" customWidth="1"/>
    <col min="11829" max="11829" width="16" bestFit="1" customWidth="1"/>
    <col min="11830" max="11830" width="29.140625" customWidth="1"/>
    <col min="11831" max="11831" width="15.7109375" customWidth="1"/>
    <col min="11832" max="11833" width="6.42578125" customWidth="1"/>
    <col min="11834" max="11834" width="24.5703125" customWidth="1"/>
    <col min="11835" max="11835" width="34.7109375" customWidth="1"/>
    <col min="11836" max="11836" width="16.42578125" customWidth="1"/>
    <col min="11837" max="11837" width="16" bestFit="1" customWidth="1"/>
    <col min="11838" max="11838" width="29.140625" customWidth="1"/>
    <col min="11839" max="11839" width="15.7109375" customWidth="1"/>
    <col min="11840" max="11841" width="6.42578125" customWidth="1"/>
    <col min="11842" max="11842" width="24.5703125" customWidth="1"/>
    <col min="11843" max="11843" width="34.7109375" customWidth="1"/>
    <col min="11844" max="11844" width="16.42578125" customWidth="1"/>
    <col min="11845" max="11845" width="16" bestFit="1" customWidth="1"/>
    <col min="11846" max="11846" width="29.140625" customWidth="1"/>
    <col min="11847" max="11847" width="15.7109375" customWidth="1"/>
    <col min="11848" max="11849" width="6.42578125" customWidth="1"/>
    <col min="11850" max="11850" width="24.5703125" customWidth="1"/>
    <col min="11851" max="11851" width="34.7109375" customWidth="1"/>
    <col min="11852" max="11852" width="16.42578125" customWidth="1"/>
    <col min="11853" max="11853" width="16" bestFit="1" customWidth="1"/>
    <col min="11854" max="11854" width="29.140625" customWidth="1"/>
    <col min="11855" max="11855" width="15.7109375" customWidth="1"/>
    <col min="11856" max="11857" width="6.42578125" customWidth="1"/>
    <col min="11858" max="11858" width="24.5703125" customWidth="1"/>
    <col min="11859" max="11859" width="34.7109375" customWidth="1"/>
    <col min="11860" max="11860" width="16.42578125" customWidth="1"/>
    <col min="11861" max="11861" width="16" bestFit="1" customWidth="1"/>
    <col min="11862" max="11862" width="29.140625" customWidth="1"/>
    <col min="11863" max="11863" width="15.7109375" customWidth="1"/>
    <col min="11864" max="11865" width="6.42578125" customWidth="1"/>
    <col min="11866" max="11866" width="24.5703125" customWidth="1"/>
    <col min="11867" max="11867" width="34.7109375" customWidth="1"/>
    <col min="11868" max="11868" width="16.42578125" customWidth="1"/>
    <col min="11869" max="11869" width="16" bestFit="1" customWidth="1"/>
    <col min="11870" max="11870" width="29.140625" customWidth="1"/>
    <col min="11871" max="11871" width="15.7109375" customWidth="1"/>
    <col min="11872" max="11873" width="6.42578125" customWidth="1"/>
    <col min="11874" max="11874" width="24.5703125" customWidth="1"/>
    <col min="11875" max="11875" width="34.7109375" customWidth="1"/>
    <col min="11876" max="11876" width="16.42578125" customWidth="1"/>
    <col min="11877" max="11877" width="16" bestFit="1" customWidth="1"/>
    <col min="11878" max="11878" width="29.140625" customWidth="1"/>
    <col min="11879" max="11879" width="15.7109375" customWidth="1"/>
    <col min="11880" max="11881" width="6.42578125" customWidth="1"/>
    <col min="11882" max="11882" width="24.5703125" customWidth="1"/>
    <col min="11883" max="11883" width="34.7109375" customWidth="1"/>
    <col min="11884" max="11884" width="16.42578125" customWidth="1"/>
    <col min="11885" max="11885" width="16" bestFit="1" customWidth="1"/>
    <col min="11886" max="11886" width="29.140625" customWidth="1"/>
    <col min="11887" max="11887" width="15.7109375" customWidth="1"/>
    <col min="11888" max="11889" width="6.42578125" customWidth="1"/>
    <col min="11890" max="11890" width="24.5703125" customWidth="1"/>
    <col min="11891" max="11891" width="34.7109375" customWidth="1"/>
    <col min="11892" max="11892" width="16.42578125" customWidth="1"/>
    <col min="11893" max="11893" width="16" bestFit="1" customWidth="1"/>
    <col min="11894" max="11894" width="29.140625" customWidth="1"/>
    <col min="11895" max="11895" width="15.7109375" customWidth="1"/>
    <col min="11896" max="11897" width="6.42578125" customWidth="1"/>
    <col min="11898" max="11898" width="24.5703125" customWidth="1"/>
    <col min="11899" max="11899" width="34.7109375" customWidth="1"/>
    <col min="11900" max="11900" width="16.42578125" customWidth="1"/>
    <col min="11901" max="11901" width="16" bestFit="1" customWidth="1"/>
    <col min="11902" max="11902" width="29.140625" customWidth="1"/>
    <col min="11903" max="11903" width="15.7109375" customWidth="1"/>
    <col min="11904" max="11905" width="6.42578125" customWidth="1"/>
    <col min="11906" max="11906" width="24.5703125" customWidth="1"/>
    <col min="11907" max="11907" width="34.7109375" customWidth="1"/>
    <col min="11908" max="11908" width="16.42578125" customWidth="1"/>
    <col min="11909" max="11909" width="16" bestFit="1" customWidth="1"/>
    <col min="11910" max="11910" width="29.140625" customWidth="1"/>
    <col min="11911" max="11911" width="15.7109375" customWidth="1"/>
    <col min="11912" max="11913" width="6.42578125" customWidth="1"/>
    <col min="11914" max="11914" width="24.5703125" customWidth="1"/>
    <col min="11915" max="11915" width="34.7109375" customWidth="1"/>
    <col min="11916" max="11916" width="16.42578125" customWidth="1"/>
    <col min="11917" max="11917" width="16" bestFit="1" customWidth="1"/>
    <col min="11918" max="11918" width="29.140625" customWidth="1"/>
    <col min="11919" max="11919" width="15.7109375" customWidth="1"/>
    <col min="11920" max="11921" width="6.42578125" customWidth="1"/>
    <col min="11922" max="11922" width="24.5703125" customWidth="1"/>
    <col min="11923" max="11923" width="34.7109375" customWidth="1"/>
    <col min="11924" max="11924" width="16.42578125" customWidth="1"/>
    <col min="11925" max="11925" width="16" bestFit="1" customWidth="1"/>
    <col min="11926" max="11926" width="29.140625" customWidth="1"/>
    <col min="11927" max="11927" width="15.7109375" customWidth="1"/>
    <col min="11928" max="11929" width="6.42578125" customWidth="1"/>
    <col min="11930" max="11930" width="24.5703125" customWidth="1"/>
    <col min="11931" max="11931" width="34.7109375" customWidth="1"/>
    <col min="11932" max="11932" width="16.42578125" customWidth="1"/>
    <col min="11933" max="11933" width="16" bestFit="1" customWidth="1"/>
    <col min="11934" max="11934" width="29.140625" customWidth="1"/>
    <col min="11935" max="11935" width="15.7109375" customWidth="1"/>
    <col min="11936" max="11937" width="6.42578125" customWidth="1"/>
    <col min="11938" max="11938" width="24.5703125" customWidth="1"/>
    <col min="11939" max="11939" width="34.7109375" customWidth="1"/>
    <col min="11940" max="11940" width="16.42578125" customWidth="1"/>
    <col min="11941" max="11941" width="16" bestFit="1" customWidth="1"/>
    <col min="11942" max="11942" width="29.140625" customWidth="1"/>
    <col min="11943" max="11943" width="15.7109375" customWidth="1"/>
    <col min="11944" max="11945" width="6.42578125" customWidth="1"/>
    <col min="11946" max="11946" width="24.5703125" customWidth="1"/>
    <col min="11947" max="11947" width="34.7109375" customWidth="1"/>
    <col min="11948" max="11948" width="16.42578125" customWidth="1"/>
    <col min="11949" max="11949" width="16" bestFit="1" customWidth="1"/>
    <col min="11950" max="11950" width="29.140625" customWidth="1"/>
    <col min="11951" max="11951" width="15.7109375" customWidth="1"/>
    <col min="11952" max="11953" width="6.42578125" customWidth="1"/>
    <col min="11954" max="11954" width="24.5703125" customWidth="1"/>
    <col min="11955" max="11955" width="34.7109375" customWidth="1"/>
    <col min="11956" max="11956" width="16.42578125" customWidth="1"/>
    <col min="11957" max="11957" width="16" bestFit="1" customWidth="1"/>
    <col min="11958" max="11958" width="29.140625" customWidth="1"/>
    <col min="11959" max="11959" width="15.7109375" customWidth="1"/>
    <col min="11960" max="11961" width="6.42578125" customWidth="1"/>
    <col min="11962" max="11962" width="24.5703125" customWidth="1"/>
    <col min="11963" max="11963" width="34.7109375" customWidth="1"/>
    <col min="11964" max="11964" width="16.42578125" customWidth="1"/>
    <col min="11965" max="11965" width="16" bestFit="1" customWidth="1"/>
    <col min="11966" max="11966" width="29.140625" customWidth="1"/>
    <col min="11967" max="11967" width="15.7109375" customWidth="1"/>
    <col min="11968" max="11969" width="6.42578125" customWidth="1"/>
    <col min="11970" max="11970" width="24.5703125" customWidth="1"/>
    <col min="11971" max="11971" width="34.7109375" customWidth="1"/>
    <col min="11972" max="11972" width="16.42578125" customWidth="1"/>
    <col min="11973" max="11973" width="16" bestFit="1" customWidth="1"/>
    <col min="11974" max="11974" width="29.140625" customWidth="1"/>
    <col min="11975" max="11975" width="15.7109375" customWidth="1"/>
    <col min="11976" max="11977" width="6.42578125" customWidth="1"/>
    <col min="11978" max="11978" width="24.5703125" customWidth="1"/>
    <col min="11979" max="11979" width="34.7109375" customWidth="1"/>
    <col min="11980" max="11980" width="16.42578125" customWidth="1"/>
    <col min="11981" max="11981" width="16" bestFit="1" customWidth="1"/>
    <col min="11982" max="11982" width="29.140625" customWidth="1"/>
    <col min="11983" max="11983" width="15.7109375" customWidth="1"/>
    <col min="11984" max="11985" width="6.42578125" customWidth="1"/>
    <col min="11986" max="11986" width="24.5703125" customWidth="1"/>
    <col min="11987" max="11987" width="34.7109375" customWidth="1"/>
    <col min="11988" max="11988" width="16.42578125" customWidth="1"/>
    <col min="11989" max="11989" width="16" bestFit="1" customWidth="1"/>
    <col min="11990" max="11990" width="29.140625" customWidth="1"/>
    <col min="11991" max="11991" width="15.7109375" customWidth="1"/>
    <col min="11992" max="11993" width="6.42578125" customWidth="1"/>
    <col min="11994" max="11994" width="24.5703125" customWidth="1"/>
    <col min="11995" max="11995" width="34.7109375" customWidth="1"/>
    <col min="11996" max="11996" width="16.42578125" customWidth="1"/>
    <col min="11997" max="11997" width="16" bestFit="1" customWidth="1"/>
    <col min="11998" max="11998" width="29.140625" customWidth="1"/>
    <col min="11999" max="11999" width="15.7109375" customWidth="1"/>
    <col min="12000" max="12001" width="6.42578125" customWidth="1"/>
    <col min="12002" max="12002" width="24.5703125" customWidth="1"/>
    <col min="12003" max="12003" width="34.7109375" customWidth="1"/>
    <col min="12004" max="12004" width="16.42578125" customWidth="1"/>
    <col min="12005" max="12005" width="16" bestFit="1" customWidth="1"/>
    <col min="12006" max="12006" width="29.140625" customWidth="1"/>
    <col min="12007" max="12007" width="15.7109375" customWidth="1"/>
    <col min="12008" max="12009" width="6.42578125" customWidth="1"/>
    <col min="12010" max="12010" width="24.5703125" customWidth="1"/>
    <col min="12011" max="12011" width="34.7109375" customWidth="1"/>
    <col min="12012" max="12012" width="16.42578125" customWidth="1"/>
    <col min="12013" max="12013" width="16" bestFit="1" customWidth="1"/>
    <col min="12014" max="12014" width="29.140625" customWidth="1"/>
    <col min="12015" max="12015" width="15.7109375" customWidth="1"/>
    <col min="12016" max="12017" width="6.42578125" customWidth="1"/>
    <col min="12018" max="12018" width="24.5703125" customWidth="1"/>
    <col min="12019" max="12019" width="34.7109375" customWidth="1"/>
    <col min="12020" max="12020" width="16.42578125" customWidth="1"/>
    <col min="12021" max="12021" width="16" bestFit="1" customWidth="1"/>
    <col min="12022" max="12022" width="29.140625" customWidth="1"/>
    <col min="12023" max="12023" width="15.7109375" customWidth="1"/>
    <col min="12024" max="12025" width="6.42578125" customWidth="1"/>
    <col min="12026" max="12026" width="24.5703125" customWidth="1"/>
    <col min="12027" max="12027" width="34.7109375" customWidth="1"/>
    <col min="12028" max="12028" width="16.42578125" customWidth="1"/>
    <col min="12029" max="12029" width="16" bestFit="1" customWidth="1"/>
    <col min="12030" max="12030" width="29.140625" customWidth="1"/>
    <col min="12031" max="12031" width="15.7109375" customWidth="1"/>
    <col min="12032" max="12033" width="6.42578125" customWidth="1"/>
    <col min="12034" max="12034" width="24.5703125" customWidth="1"/>
    <col min="12035" max="12035" width="34.7109375" customWidth="1"/>
    <col min="12036" max="12036" width="16.42578125" customWidth="1"/>
    <col min="12037" max="12037" width="16" bestFit="1" customWidth="1"/>
    <col min="12038" max="12038" width="29.140625" customWidth="1"/>
    <col min="12039" max="12039" width="15.7109375" customWidth="1"/>
    <col min="12040" max="12041" width="6.42578125" customWidth="1"/>
    <col min="12042" max="12042" width="24.5703125" customWidth="1"/>
    <col min="12043" max="12043" width="34.7109375" customWidth="1"/>
    <col min="12044" max="12044" width="16.42578125" customWidth="1"/>
    <col min="12045" max="12045" width="16" bestFit="1" customWidth="1"/>
    <col min="12046" max="12046" width="29.140625" customWidth="1"/>
    <col min="12047" max="12047" width="15.7109375" customWidth="1"/>
    <col min="12048" max="12049" width="6.42578125" customWidth="1"/>
    <col min="12050" max="12050" width="24.5703125" customWidth="1"/>
    <col min="12051" max="12051" width="34.7109375" customWidth="1"/>
    <col min="12052" max="12052" width="16.42578125" customWidth="1"/>
    <col min="12053" max="12053" width="16" bestFit="1" customWidth="1"/>
    <col min="12054" max="12054" width="29.140625" customWidth="1"/>
    <col min="12055" max="12055" width="15.7109375" customWidth="1"/>
    <col min="12056" max="12057" width="6.42578125" customWidth="1"/>
    <col min="12058" max="12058" width="24.5703125" customWidth="1"/>
    <col min="12059" max="12059" width="34.7109375" customWidth="1"/>
    <col min="12060" max="12060" width="16.42578125" customWidth="1"/>
    <col min="12061" max="12061" width="16" bestFit="1" customWidth="1"/>
    <col min="12062" max="12062" width="29.140625" customWidth="1"/>
    <col min="12063" max="12063" width="15.7109375" customWidth="1"/>
    <col min="12064" max="12065" width="6.42578125" customWidth="1"/>
    <col min="12066" max="12066" width="24.5703125" customWidth="1"/>
    <col min="12067" max="12067" width="34.7109375" customWidth="1"/>
    <col min="12068" max="12068" width="16.42578125" customWidth="1"/>
    <col min="12069" max="12069" width="16" bestFit="1" customWidth="1"/>
    <col min="12070" max="12070" width="29.140625" customWidth="1"/>
    <col min="12071" max="12071" width="15.7109375" customWidth="1"/>
    <col min="12072" max="12073" width="6.42578125" customWidth="1"/>
    <col min="12074" max="12074" width="24.5703125" customWidth="1"/>
    <col min="12075" max="12075" width="34.7109375" customWidth="1"/>
    <col min="12076" max="12076" width="16.42578125" customWidth="1"/>
    <col min="12077" max="12077" width="16" bestFit="1" customWidth="1"/>
    <col min="12078" max="12078" width="29.140625" customWidth="1"/>
    <col min="12079" max="12079" width="15.7109375" customWidth="1"/>
    <col min="12080" max="12081" width="6.42578125" customWidth="1"/>
    <col min="12082" max="12082" width="24.5703125" customWidth="1"/>
    <col min="12083" max="12083" width="34.7109375" customWidth="1"/>
    <col min="12084" max="12084" width="16.42578125" customWidth="1"/>
    <col min="12085" max="12085" width="16" bestFit="1" customWidth="1"/>
    <col min="12086" max="12086" width="29.140625" customWidth="1"/>
    <col min="12087" max="12087" width="15.7109375" customWidth="1"/>
    <col min="12088" max="12089" width="6.42578125" customWidth="1"/>
    <col min="12090" max="12090" width="24.5703125" customWidth="1"/>
    <col min="12091" max="12091" width="34.7109375" customWidth="1"/>
    <col min="12092" max="12092" width="16.42578125" customWidth="1"/>
    <col min="12093" max="12093" width="16" bestFit="1" customWidth="1"/>
    <col min="12094" max="12094" width="29.140625" customWidth="1"/>
    <col min="12095" max="12095" width="15.7109375" customWidth="1"/>
    <col min="12096" max="12097" width="6.42578125" customWidth="1"/>
    <col min="12098" max="12098" width="24.5703125" customWidth="1"/>
    <col min="12099" max="12099" width="34.7109375" customWidth="1"/>
    <col min="12100" max="12100" width="16.42578125" customWidth="1"/>
    <col min="12101" max="12101" width="16" bestFit="1" customWidth="1"/>
    <col min="12102" max="12102" width="29.140625" customWidth="1"/>
    <col min="12103" max="12103" width="15.7109375" customWidth="1"/>
    <col min="12104" max="12105" width="6.42578125" customWidth="1"/>
    <col min="12106" max="12106" width="24.5703125" customWidth="1"/>
    <col min="12107" max="12107" width="34.7109375" customWidth="1"/>
    <col min="12108" max="12108" width="16.42578125" customWidth="1"/>
    <col min="12109" max="12109" width="16" bestFit="1" customWidth="1"/>
    <col min="12110" max="12110" width="29.140625" customWidth="1"/>
    <col min="12111" max="12111" width="15.7109375" customWidth="1"/>
    <col min="12112" max="12113" width="6.42578125" customWidth="1"/>
    <col min="12114" max="12114" width="24.5703125" customWidth="1"/>
    <col min="12115" max="12115" width="34.7109375" customWidth="1"/>
    <col min="12116" max="12116" width="16.42578125" customWidth="1"/>
    <col min="12117" max="12117" width="16" bestFit="1" customWidth="1"/>
    <col min="12118" max="12118" width="29.140625" customWidth="1"/>
    <col min="12119" max="12119" width="15.7109375" customWidth="1"/>
    <col min="12120" max="12121" width="6.42578125" customWidth="1"/>
    <col min="12122" max="12122" width="24.5703125" customWidth="1"/>
    <col min="12123" max="12123" width="34.7109375" customWidth="1"/>
    <col min="12124" max="12124" width="16.42578125" customWidth="1"/>
    <col min="12125" max="12125" width="16" bestFit="1" customWidth="1"/>
    <col min="12126" max="12126" width="29.140625" customWidth="1"/>
    <col min="12127" max="12127" width="15.7109375" customWidth="1"/>
    <col min="12128" max="12129" width="6.42578125" customWidth="1"/>
    <col min="12130" max="12130" width="24.5703125" customWidth="1"/>
    <col min="12131" max="12131" width="34.7109375" customWidth="1"/>
    <col min="12132" max="12132" width="16.42578125" customWidth="1"/>
    <col min="12133" max="12133" width="16" bestFit="1" customWidth="1"/>
    <col min="12134" max="12134" width="29.140625" customWidth="1"/>
    <col min="12135" max="12135" width="15.7109375" customWidth="1"/>
    <col min="12136" max="12137" width="6.42578125" customWidth="1"/>
    <col min="12138" max="12138" width="24.5703125" customWidth="1"/>
    <col min="12139" max="12139" width="34.7109375" customWidth="1"/>
    <col min="12140" max="12140" width="16.42578125" customWidth="1"/>
    <col min="12141" max="12141" width="16" bestFit="1" customWidth="1"/>
    <col min="12142" max="12142" width="29.140625" customWidth="1"/>
    <col min="12143" max="12143" width="15.7109375" customWidth="1"/>
    <col min="12144" max="12145" width="6.42578125" customWidth="1"/>
    <col min="12146" max="12146" width="24.5703125" customWidth="1"/>
    <col min="12147" max="12147" width="34.7109375" customWidth="1"/>
    <col min="12148" max="12148" width="16.42578125" customWidth="1"/>
    <col min="12149" max="12149" width="16" bestFit="1" customWidth="1"/>
    <col min="12150" max="12150" width="29.140625" customWidth="1"/>
    <col min="12151" max="12151" width="15.7109375" customWidth="1"/>
    <col min="12152" max="12153" width="6.42578125" customWidth="1"/>
    <col min="12154" max="12154" width="24.5703125" customWidth="1"/>
    <col min="12155" max="12155" width="34.7109375" customWidth="1"/>
    <col min="12156" max="12156" width="16.42578125" customWidth="1"/>
    <col min="12157" max="12157" width="16" bestFit="1" customWidth="1"/>
    <col min="12158" max="12158" width="29.140625" customWidth="1"/>
    <col min="12159" max="12159" width="15.7109375" customWidth="1"/>
    <col min="12160" max="12161" width="6.42578125" customWidth="1"/>
    <col min="12162" max="12162" width="24.5703125" customWidth="1"/>
    <col min="12163" max="12163" width="34.7109375" customWidth="1"/>
    <col min="12164" max="12164" width="16.42578125" customWidth="1"/>
    <col min="12165" max="12165" width="16" bestFit="1" customWidth="1"/>
    <col min="12166" max="12166" width="29.140625" customWidth="1"/>
    <col min="12167" max="12167" width="15.7109375" customWidth="1"/>
    <col min="12168" max="12169" width="6.42578125" customWidth="1"/>
    <col min="12170" max="12170" width="24.5703125" customWidth="1"/>
    <col min="12171" max="12171" width="34.7109375" customWidth="1"/>
    <col min="12172" max="12172" width="16.42578125" customWidth="1"/>
    <col min="12173" max="12173" width="16" bestFit="1" customWidth="1"/>
    <col min="12174" max="12174" width="29.140625" customWidth="1"/>
    <col min="12175" max="12175" width="15.7109375" customWidth="1"/>
    <col min="12176" max="12177" width="6.42578125" customWidth="1"/>
    <col min="12178" max="12178" width="24.5703125" customWidth="1"/>
    <col min="12179" max="12179" width="34.7109375" customWidth="1"/>
    <col min="12180" max="12180" width="16.42578125" customWidth="1"/>
    <col min="12181" max="12181" width="16" bestFit="1" customWidth="1"/>
    <col min="12182" max="12182" width="29.140625" customWidth="1"/>
    <col min="12183" max="12183" width="15.7109375" customWidth="1"/>
    <col min="12184" max="12185" width="6.42578125" customWidth="1"/>
    <col min="12186" max="12186" width="24.5703125" customWidth="1"/>
    <col min="12187" max="12187" width="34.7109375" customWidth="1"/>
    <col min="12188" max="12188" width="16.42578125" customWidth="1"/>
    <col min="12189" max="12189" width="16" bestFit="1" customWidth="1"/>
    <col min="12190" max="12190" width="29.140625" customWidth="1"/>
    <col min="12191" max="12191" width="15.7109375" customWidth="1"/>
    <col min="12192" max="12193" width="6.42578125" customWidth="1"/>
    <col min="12194" max="12194" width="24.5703125" customWidth="1"/>
    <col min="12195" max="12195" width="34.7109375" customWidth="1"/>
    <col min="12196" max="12196" width="16.42578125" customWidth="1"/>
    <col min="12197" max="12197" width="16" bestFit="1" customWidth="1"/>
    <col min="12198" max="12198" width="29.140625" customWidth="1"/>
    <col min="12199" max="12199" width="15.7109375" customWidth="1"/>
    <col min="12200" max="12201" width="6.42578125" customWidth="1"/>
    <col min="12202" max="12202" width="24.5703125" customWidth="1"/>
    <col min="12203" max="12203" width="34.7109375" customWidth="1"/>
    <col min="12204" max="12204" width="16.42578125" customWidth="1"/>
    <col min="12205" max="12205" width="16" bestFit="1" customWidth="1"/>
    <col min="12206" max="12206" width="29.140625" customWidth="1"/>
    <col min="12207" max="12207" width="15.7109375" customWidth="1"/>
    <col min="12208" max="12209" width="6.42578125" customWidth="1"/>
    <col min="12210" max="12210" width="24.5703125" customWidth="1"/>
    <col min="12211" max="12211" width="34.7109375" customWidth="1"/>
    <col min="12212" max="12212" width="16.42578125" customWidth="1"/>
    <col min="12213" max="12213" width="16" bestFit="1" customWidth="1"/>
    <col min="12214" max="12214" width="29.140625" customWidth="1"/>
    <col min="12215" max="12215" width="15.7109375" customWidth="1"/>
    <col min="12216" max="12217" width="6.42578125" customWidth="1"/>
    <col min="12218" max="12218" width="24.5703125" customWidth="1"/>
    <col min="12219" max="12219" width="34.7109375" customWidth="1"/>
    <col min="12220" max="12220" width="16.42578125" customWidth="1"/>
    <col min="12221" max="12221" width="16" bestFit="1" customWidth="1"/>
    <col min="12222" max="12222" width="29.140625" customWidth="1"/>
    <col min="12223" max="12223" width="15.7109375" customWidth="1"/>
    <col min="12224" max="12225" width="6.42578125" customWidth="1"/>
    <col min="12226" max="12226" width="24.5703125" customWidth="1"/>
    <col min="12227" max="12227" width="34.7109375" customWidth="1"/>
    <col min="12228" max="12228" width="16.42578125" customWidth="1"/>
    <col min="12229" max="12229" width="16" bestFit="1" customWidth="1"/>
    <col min="12230" max="12230" width="29.140625" customWidth="1"/>
    <col min="12231" max="12231" width="15.7109375" customWidth="1"/>
    <col min="12232" max="12233" width="6.42578125" customWidth="1"/>
    <col min="12234" max="12234" width="24.5703125" customWidth="1"/>
    <col min="12235" max="12235" width="34.7109375" customWidth="1"/>
    <col min="12236" max="12236" width="16.42578125" customWidth="1"/>
    <col min="12237" max="12237" width="16" bestFit="1" customWidth="1"/>
    <col min="12238" max="12238" width="29.140625" customWidth="1"/>
    <col min="12239" max="12239" width="15.7109375" customWidth="1"/>
    <col min="12240" max="12241" width="6.42578125" customWidth="1"/>
    <col min="12242" max="12242" width="24.5703125" customWidth="1"/>
    <col min="12243" max="12243" width="34.7109375" customWidth="1"/>
    <col min="12244" max="12244" width="16.42578125" customWidth="1"/>
    <col min="12245" max="12245" width="16" bestFit="1" customWidth="1"/>
    <col min="12246" max="12246" width="29.140625" customWidth="1"/>
    <col min="12247" max="12247" width="15.7109375" customWidth="1"/>
    <col min="12248" max="12249" width="6.42578125" customWidth="1"/>
    <col min="12250" max="12250" width="24.5703125" customWidth="1"/>
    <col min="12251" max="12251" width="34.7109375" customWidth="1"/>
    <col min="12252" max="12252" width="16.42578125" customWidth="1"/>
    <col min="12253" max="12253" width="16" bestFit="1" customWidth="1"/>
    <col min="12254" max="12254" width="29.140625" customWidth="1"/>
    <col min="12255" max="12255" width="15.7109375" customWidth="1"/>
    <col min="12256" max="12257" width="6.42578125" customWidth="1"/>
    <col min="12258" max="12258" width="24.5703125" customWidth="1"/>
    <col min="12259" max="12259" width="34.7109375" customWidth="1"/>
    <col min="12260" max="12260" width="16.42578125" customWidth="1"/>
    <col min="12261" max="12261" width="16" bestFit="1" customWidth="1"/>
    <col min="12262" max="12262" width="29.140625" customWidth="1"/>
    <col min="12263" max="12263" width="15.7109375" customWidth="1"/>
    <col min="12264" max="12265" width="6.42578125" customWidth="1"/>
    <col min="12266" max="12266" width="24.5703125" customWidth="1"/>
    <col min="12267" max="12267" width="34.7109375" customWidth="1"/>
    <col min="12268" max="12268" width="16.42578125" customWidth="1"/>
    <col min="12269" max="12269" width="16" bestFit="1" customWidth="1"/>
    <col min="12270" max="12270" width="29.140625" customWidth="1"/>
    <col min="12271" max="12271" width="15.7109375" customWidth="1"/>
    <col min="12272" max="12273" width="6.42578125" customWidth="1"/>
    <col min="12274" max="12274" width="24.5703125" customWidth="1"/>
    <col min="12275" max="12275" width="34.7109375" customWidth="1"/>
    <col min="12276" max="12276" width="16.42578125" customWidth="1"/>
    <col min="12277" max="12277" width="16" bestFit="1" customWidth="1"/>
    <col min="12278" max="12278" width="29.140625" customWidth="1"/>
    <col min="12279" max="12279" width="15.7109375" customWidth="1"/>
    <col min="12280" max="12281" width="6.42578125" customWidth="1"/>
    <col min="12282" max="12282" width="24.5703125" customWidth="1"/>
    <col min="12283" max="12283" width="34.7109375" customWidth="1"/>
    <col min="12284" max="12284" width="16.42578125" customWidth="1"/>
    <col min="12285" max="12285" width="16" bestFit="1" customWidth="1"/>
    <col min="12286" max="12286" width="29.140625" customWidth="1"/>
    <col min="12287" max="12287" width="15.7109375" customWidth="1"/>
    <col min="12288" max="12289" width="6.42578125" customWidth="1"/>
    <col min="12290" max="12290" width="24.5703125" customWidth="1"/>
    <col min="12291" max="12291" width="34.7109375" customWidth="1"/>
    <col min="12292" max="12292" width="16.42578125" customWidth="1"/>
    <col min="12293" max="12293" width="16" bestFit="1" customWidth="1"/>
    <col min="12294" max="12294" width="29.140625" customWidth="1"/>
    <col min="12295" max="12295" width="15.7109375" customWidth="1"/>
    <col min="12296" max="12297" width="6.42578125" customWidth="1"/>
    <col min="12298" max="12298" width="24.5703125" customWidth="1"/>
    <col min="12299" max="12299" width="34.7109375" customWidth="1"/>
    <col min="12300" max="12300" width="16.42578125" customWidth="1"/>
    <col min="12301" max="12301" width="16" bestFit="1" customWidth="1"/>
    <col min="12302" max="12302" width="29.140625" customWidth="1"/>
    <col min="12303" max="12303" width="15.7109375" customWidth="1"/>
    <col min="12304" max="12305" width="6.42578125" customWidth="1"/>
    <col min="12306" max="12306" width="24.5703125" customWidth="1"/>
    <col min="12307" max="12307" width="34.7109375" customWidth="1"/>
    <col min="12308" max="12308" width="16.42578125" customWidth="1"/>
    <col min="12309" max="12309" width="16" bestFit="1" customWidth="1"/>
    <col min="12310" max="12310" width="29.140625" customWidth="1"/>
    <col min="12311" max="12311" width="15.7109375" customWidth="1"/>
    <col min="12312" max="12313" width="6.42578125" customWidth="1"/>
    <col min="12314" max="12314" width="24.5703125" customWidth="1"/>
    <col min="12315" max="12315" width="34.7109375" customWidth="1"/>
    <col min="12316" max="12316" width="16.42578125" customWidth="1"/>
    <col min="12317" max="12317" width="16" bestFit="1" customWidth="1"/>
    <col min="12318" max="12318" width="29.140625" customWidth="1"/>
    <col min="12319" max="12319" width="15.7109375" customWidth="1"/>
    <col min="12320" max="12321" width="6.42578125" customWidth="1"/>
    <col min="12322" max="12322" width="24.5703125" customWidth="1"/>
    <col min="12323" max="12323" width="34.7109375" customWidth="1"/>
    <col min="12324" max="12324" width="16.42578125" customWidth="1"/>
    <col min="12325" max="12325" width="16" bestFit="1" customWidth="1"/>
    <col min="12326" max="12326" width="29.140625" customWidth="1"/>
    <col min="12327" max="12327" width="15.7109375" customWidth="1"/>
    <col min="12328" max="12329" width="6.42578125" customWidth="1"/>
    <col min="12330" max="12330" width="24.5703125" customWidth="1"/>
    <col min="12331" max="12331" width="34.7109375" customWidth="1"/>
    <col min="12332" max="12332" width="16.42578125" customWidth="1"/>
    <col min="12333" max="12333" width="16" bestFit="1" customWidth="1"/>
    <col min="12334" max="12334" width="29.140625" customWidth="1"/>
    <col min="12335" max="12335" width="15.7109375" customWidth="1"/>
    <col min="12336" max="12337" width="6.42578125" customWidth="1"/>
    <col min="12338" max="12338" width="24.5703125" customWidth="1"/>
    <col min="12339" max="12339" width="34.7109375" customWidth="1"/>
    <col min="12340" max="12340" width="16.42578125" customWidth="1"/>
    <col min="12341" max="12341" width="16" bestFit="1" customWidth="1"/>
    <col min="12342" max="12342" width="29.140625" customWidth="1"/>
    <col min="12343" max="12343" width="15.7109375" customWidth="1"/>
    <col min="12344" max="12345" width="6.42578125" customWidth="1"/>
    <col min="12346" max="12346" width="24.5703125" customWidth="1"/>
    <col min="12347" max="12347" width="34.7109375" customWidth="1"/>
    <col min="12348" max="12348" width="16.42578125" customWidth="1"/>
    <col min="12349" max="12349" width="16" bestFit="1" customWidth="1"/>
    <col min="12350" max="12350" width="29.140625" customWidth="1"/>
    <col min="12351" max="12351" width="15.7109375" customWidth="1"/>
    <col min="12352" max="12353" width="6.42578125" customWidth="1"/>
    <col min="12354" max="12354" width="24.5703125" customWidth="1"/>
    <col min="12355" max="12355" width="34.7109375" customWidth="1"/>
    <col min="12356" max="12356" width="16.42578125" customWidth="1"/>
    <col min="12357" max="12357" width="16" bestFit="1" customWidth="1"/>
    <col min="12358" max="12358" width="29.140625" customWidth="1"/>
    <col min="12359" max="12359" width="15.7109375" customWidth="1"/>
    <col min="12360" max="12361" width="6.42578125" customWidth="1"/>
    <col min="12362" max="12362" width="24.5703125" customWidth="1"/>
    <col min="12363" max="12363" width="34.7109375" customWidth="1"/>
    <col min="12364" max="12364" width="16.42578125" customWidth="1"/>
    <col min="12365" max="12365" width="16" bestFit="1" customWidth="1"/>
    <col min="12366" max="12366" width="29.140625" customWidth="1"/>
    <col min="12367" max="12367" width="15.7109375" customWidth="1"/>
    <col min="12368" max="12369" width="6.42578125" customWidth="1"/>
    <col min="12370" max="12370" width="24.5703125" customWidth="1"/>
    <col min="12371" max="12371" width="34.7109375" customWidth="1"/>
    <col min="12372" max="12372" width="16.42578125" customWidth="1"/>
    <col min="12373" max="12373" width="16" bestFit="1" customWidth="1"/>
    <col min="12374" max="12374" width="29.140625" customWidth="1"/>
    <col min="12375" max="12375" width="15.7109375" customWidth="1"/>
    <col min="12376" max="12377" width="6.42578125" customWidth="1"/>
    <col min="12378" max="12378" width="24.5703125" customWidth="1"/>
    <col min="12379" max="12379" width="34.7109375" customWidth="1"/>
    <col min="12380" max="12380" width="16.42578125" customWidth="1"/>
    <col min="12381" max="12381" width="16" bestFit="1" customWidth="1"/>
    <col min="12382" max="12382" width="29.140625" customWidth="1"/>
    <col min="12383" max="12383" width="15.7109375" customWidth="1"/>
    <col min="12384" max="12385" width="6.42578125" customWidth="1"/>
    <col min="12386" max="12386" width="24.5703125" customWidth="1"/>
    <col min="12387" max="12387" width="34.7109375" customWidth="1"/>
    <col min="12388" max="12388" width="16.42578125" customWidth="1"/>
    <col min="12389" max="12389" width="16" bestFit="1" customWidth="1"/>
    <col min="12390" max="12390" width="29.140625" customWidth="1"/>
    <col min="12391" max="12391" width="15.7109375" customWidth="1"/>
    <col min="12392" max="12393" width="6.42578125" customWidth="1"/>
    <col min="12394" max="12394" width="24.5703125" customWidth="1"/>
    <col min="12395" max="12395" width="34.7109375" customWidth="1"/>
    <col min="12396" max="12396" width="16.42578125" customWidth="1"/>
    <col min="12397" max="12397" width="16" bestFit="1" customWidth="1"/>
    <col min="12398" max="12398" width="29.140625" customWidth="1"/>
    <col min="12399" max="12399" width="15.7109375" customWidth="1"/>
    <col min="12400" max="12401" width="6.42578125" customWidth="1"/>
    <col min="12402" max="12402" width="24.5703125" customWidth="1"/>
    <col min="12403" max="12403" width="34.7109375" customWidth="1"/>
    <col min="12404" max="12404" width="16.42578125" customWidth="1"/>
    <col min="12405" max="12405" width="16" bestFit="1" customWidth="1"/>
    <col min="12406" max="12406" width="29.140625" customWidth="1"/>
    <col min="12407" max="12407" width="15.7109375" customWidth="1"/>
    <col min="12408" max="12409" width="6.42578125" customWidth="1"/>
    <col min="12410" max="12410" width="24.5703125" customWidth="1"/>
    <col min="12411" max="12411" width="34.7109375" customWidth="1"/>
    <col min="12412" max="12412" width="16.42578125" customWidth="1"/>
    <col min="12413" max="12413" width="16" bestFit="1" customWidth="1"/>
    <col min="12414" max="12414" width="29.140625" customWidth="1"/>
    <col min="12415" max="12415" width="15.7109375" customWidth="1"/>
    <col min="12416" max="12417" width="6.42578125" customWidth="1"/>
    <col min="12418" max="12418" width="24.5703125" customWidth="1"/>
    <col min="12419" max="12419" width="34.7109375" customWidth="1"/>
    <col min="12420" max="12420" width="16.42578125" customWidth="1"/>
    <col min="12421" max="12421" width="16" bestFit="1" customWidth="1"/>
    <col min="12422" max="12422" width="29.140625" customWidth="1"/>
    <col min="12423" max="12423" width="15.7109375" customWidth="1"/>
    <col min="12424" max="12425" width="6.42578125" customWidth="1"/>
    <col min="12426" max="12426" width="24.5703125" customWidth="1"/>
    <col min="12427" max="12427" width="34.7109375" customWidth="1"/>
    <col min="12428" max="12428" width="16.42578125" customWidth="1"/>
    <col min="12429" max="12429" width="16" bestFit="1" customWidth="1"/>
    <col min="12430" max="12430" width="29.140625" customWidth="1"/>
    <col min="12431" max="12431" width="15.7109375" customWidth="1"/>
    <col min="12432" max="12433" width="6.42578125" customWidth="1"/>
    <col min="12434" max="12434" width="24.5703125" customWidth="1"/>
    <col min="12435" max="12435" width="34.7109375" customWidth="1"/>
    <col min="12436" max="12436" width="16.42578125" customWidth="1"/>
    <col min="12437" max="12437" width="16" bestFit="1" customWidth="1"/>
    <col min="12438" max="12438" width="29.140625" customWidth="1"/>
    <col min="12439" max="12439" width="15.7109375" customWidth="1"/>
    <col min="12440" max="12441" width="6.42578125" customWidth="1"/>
    <col min="12442" max="12442" width="24.5703125" customWidth="1"/>
    <col min="12443" max="12443" width="34.7109375" customWidth="1"/>
    <col min="12444" max="12444" width="16.42578125" customWidth="1"/>
    <col min="12445" max="12445" width="16" bestFit="1" customWidth="1"/>
    <col min="12446" max="12446" width="29.140625" customWidth="1"/>
    <col min="12447" max="12447" width="15.7109375" customWidth="1"/>
    <col min="12448" max="12449" width="6.42578125" customWidth="1"/>
    <col min="12450" max="12450" width="24.5703125" customWidth="1"/>
    <col min="12451" max="12451" width="34.7109375" customWidth="1"/>
    <col min="12452" max="12452" width="16.42578125" customWidth="1"/>
    <col min="12453" max="12453" width="16" bestFit="1" customWidth="1"/>
    <col min="12454" max="12454" width="29.140625" customWidth="1"/>
    <col min="12455" max="12455" width="15.7109375" customWidth="1"/>
    <col min="12456" max="12457" width="6.42578125" customWidth="1"/>
    <col min="12458" max="12458" width="24.5703125" customWidth="1"/>
    <col min="12459" max="12459" width="34.7109375" customWidth="1"/>
    <col min="12460" max="12460" width="16.42578125" customWidth="1"/>
    <col min="12461" max="12461" width="16" bestFit="1" customWidth="1"/>
    <col min="12462" max="12462" width="29.140625" customWidth="1"/>
    <col min="12463" max="12463" width="15.7109375" customWidth="1"/>
    <col min="12464" max="12465" width="6.42578125" customWidth="1"/>
    <col min="12466" max="12466" width="24.5703125" customWidth="1"/>
    <col min="12467" max="12467" width="34.7109375" customWidth="1"/>
    <col min="12468" max="12468" width="16.42578125" customWidth="1"/>
    <col min="12469" max="12469" width="16" bestFit="1" customWidth="1"/>
    <col min="12470" max="12470" width="29.140625" customWidth="1"/>
    <col min="12471" max="12471" width="15.7109375" customWidth="1"/>
    <col min="12472" max="12473" width="6.42578125" customWidth="1"/>
    <col min="12474" max="12474" width="24.5703125" customWidth="1"/>
    <col min="12475" max="12475" width="34.7109375" customWidth="1"/>
    <col min="12476" max="12476" width="16.42578125" customWidth="1"/>
    <col min="12477" max="12477" width="16" bestFit="1" customWidth="1"/>
    <col min="12478" max="12478" width="29.140625" customWidth="1"/>
    <col min="12479" max="12479" width="15.7109375" customWidth="1"/>
    <col min="12480" max="12481" width="6.42578125" customWidth="1"/>
    <col min="12482" max="12482" width="24.5703125" customWidth="1"/>
    <col min="12483" max="12483" width="34.7109375" customWidth="1"/>
    <col min="12484" max="12484" width="16.42578125" customWidth="1"/>
    <col min="12485" max="12485" width="16" bestFit="1" customWidth="1"/>
    <col min="12486" max="12486" width="29.140625" customWidth="1"/>
    <col min="12487" max="12487" width="15.7109375" customWidth="1"/>
    <col min="12488" max="12489" width="6.42578125" customWidth="1"/>
    <col min="12490" max="12490" width="24.5703125" customWidth="1"/>
    <col min="12491" max="12491" width="34.7109375" customWidth="1"/>
    <col min="12492" max="12492" width="16.42578125" customWidth="1"/>
    <col min="12493" max="12493" width="16" bestFit="1" customWidth="1"/>
    <col min="12494" max="12494" width="29.140625" customWidth="1"/>
    <col min="12495" max="12495" width="15.7109375" customWidth="1"/>
    <col min="12496" max="12497" width="6.42578125" customWidth="1"/>
    <col min="12498" max="12498" width="24.5703125" customWidth="1"/>
    <col min="12499" max="12499" width="34.7109375" customWidth="1"/>
    <col min="12500" max="12500" width="16.42578125" customWidth="1"/>
    <col min="12501" max="12501" width="16" bestFit="1" customWidth="1"/>
    <col min="12502" max="12502" width="29.140625" customWidth="1"/>
    <col min="12503" max="12503" width="15.7109375" customWidth="1"/>
    <col min="12504" max="12505" width="6.42578125" customWidth="1"/>
    <col min="12506" max="12506" width="24.5703125" customWidth="1"/>
    <col min="12507" max="12507" width="34.7109375" customWidth="1"/>
    <col min="12508" max="12508" width="16.42578125" customWidth="1"/>
    <col min="12509" max="12509" width="16" bestFit="1" customWidth="1"/>
    <col min="12510" max="12510" width="29.140625" customWidth="1"/>
    <col min="12511" max="12511" width="15.7109375" customWidth="1"/>
    <col min="12512" max="12513" width="6.42578125" customWidth="1"/>
    <col min="12514" max="12514" width="24.5703125" customWidth="1"/>
    <col min="12515" max="12515" width="34.7109375" customWidth="1"/>
    <col min="12516" max="12516" width="16.42578125" customWidth="1"/>
    <col min="12517" max="12517" width="16" bestFit="1" customWidth="1"/>
    <col min="12518" max="12518" width="29.140625" customWidth="1"/>
    <col min="12519" max="12519" width="15.7109375" customWidth="1"/>
    <col min="12520" max="12521" width="6.42578125" customWidth="1"/>
    <col min="12522" max="12522" width="24.5703125" customWidth="1"/>
    <col min="12523" max="12523" width="34.7109375" customWidth="1"/>
    <col min="12524" max="12524" width="16.42578125" customWidth="1"/>
    <col min="12525" max="12525" width="16" bestFit="1" customWidth="1"/>
    <col min="12526" max="12526" width="29.140625" customWidth="1"/>
    <col min="12527" max="12527" width="15.7109375" customWidth="1"/>
    <col min="12528" max="12529" width="6.42578125" customWidth="1"/>
    <col min="12530" max="12530" width="24.5703125" customWidth="1"/>
    <col min="12531" max="12531" width="34.7109375" customWidth="1"/>
    <col min="12532" max="12532" width="16.42578125" customWidth="1"/>
    <col min="12533" max="12533" width="16" bestFit="1" customWidth="1"/>
    <col min="12534" max="12534" width="29.140625" customWidth="1"/>
    <col min="12535" max="12535" width="15.7109375" customWidth="1"/>
    <col min="12536" max="12537" width="6.42578125" customWidth="1"/>
    <col min="12538" max="12538" width="24.5703125" customWidth="1"/>
    <col min="12539" max="12539" width="34.7109375" customWidth="1"/>
    <col min="12540" max="12540" width="16.42578125" customWidth="1"/>
    <col min="12541" max="12541" width="16" bestFit="1" customWidth="1"/>
    <col min="12542" max="12542" width="29.140625" customWidth="1"/>
    <col min="12543" max="12543" width="15.7109375" customWidth="1"/>
    <col min="12544" max="12545" width="6.42578125" customWidth="1"/>
    <col min="12546" max="12546" width="24.5703125" customWidth="1"/>
    <col min="12547" max="12547" width="34.7109375" customWidth="1"/>
    <col min="12548" max="12548" width="16.42578125" customWidth="1"/>
    <col min="12549" max="12549" width="16" bestFit="1" customWidth="1"/>
    <col min="12550" max="12550" width="29.140625" customWidth="1"/>
    <col min="12551" max="12551" width="15.7109375" customWidth="1"/>
    <col min="12552" max="12553" width="6.42578125" customWidth="1"/>
    <col min="12554" max="12554" width="24.5703125" customWidth="1"/>
    <col min="12555" max="12555" width="34.7109375" customWidth="1"/>
    <col min="12556" max="12556" width="16.42578125" customWidth="1"/>
    <col min="12557" max="12557" width="16" bestFit="1" customWidth="1"/>
    <col min="12558" max="12558" width="29.140625" customWidth="1"/>
    <col min="12559" max="12559" width="15.7109375" customWidth="1"/>
    <col min="12560" max="12561" width="6.42578125" customWidth="1"/>
    <col min="12562" max="12562" width="24.5703125" customWidth="1"/>
    <col min="12563" max="12563" width="34.7109375" customWidth="1"/>
    <col min="12564" max="12564" width="16.42578125" customWidth="1"/>
    <col min="12565" max="12565" width="16" bestFit="1" customWidth="1"/>
    <col min="12566" max="12566" width="29.140625" customWidth="1"/>
    <col min="12567" max="12567" width="15.7109375" customWidth="1"/>
    <col min="12568" max="12569" width="6.42578125" customWidth="1"/>
    <col min="12570" max="12570" width="24.5703125" customWidth="1"/>
    <col min="12571" max="12571" width="34.7109375" customWidth="1"/>
    <col min="12572" max="12572" width="16.42578125" customWidth="1"/>
    <col min="12573" max="12573" width="16" bestFit="1" customWidth="1"/>
    <col min="12574" max="12574" width="29.140625" customWidth="1"/>
    <col min="12575" max="12575" width="15.7109375" customWidth="1"/>
    <col min="12576" max="12577" width="6.42578125" customWidth="1"/>
    <col min="12578" max="12578" width="24.5703125" customWidth="1"/>
    <col min="12579" max="12579" width="34.7109375" customWidth="1"/>
    <col min="12580" max="12580" width="16.42578125" customWidth="1"/>
    <col min="12581" max="12581" width="16" bestFit="1" customWidth="1"/>
    <col min="12582" max="12582" width="29.140625" customWidth="1"/>
    <col min="12583" max="12583" width="15.7109375" customWidth="1"/>
    <col min="12584" max="12585" width="6.42578125" customWidth="1"/>
    <col min="12586" max="12586" width="24.5703125" customWidth="1"/>
    <col min="12587" max="12587" width="34.7109375" customWidth="1"/>
    <col min="12588" max="12588" width="16.42578125" customWidth="1"/>
    <col min="12589" max="12589" width="16" bestFit="1" customWidth="1"/>
    <col min="12590" max="12590" width="29.140625" customWidth="1"/>
    <col min="12591" max="12591" width="15.7109375" customWidth="1"/>
    <col min="12592" max="12593" width="6.42578125" customWidth="1"/>
    <col min="12594" max="12594" width="24.5703125" customWidth="1"/>
    <col min="12595" max="12595" width="34.7109375" customWidth="1"/>
    <col min="12596" max="12596" width="16.42578125" customWidth="1"/>
    <col min="12597" max="12597" width="16" bestFit="1" customWidth="1"/>
    <col min="12598" max="12598" width="29.140625" customWidth="1"/>
    <col min="12599" max="12599" width="15.7109375" customWidth="1"/>
    <col min="12600" max="12601" width="6.42578125" customWidth="1"/>
    <col min="12602" max="12602" width="24.5703125" customWidth="1"/>
    <col min="12603" max="12603" width="34.7109375" customWidth="1"/>
    <col min="12604" max="12604" width="16.42578125" customWidth="1"/>
    <col min="12605" max="12605" width="16" bestFit="1" customWidth="1"/>
    <col min="12606" max="12606" width="29.140625" customWidth="1"/>
    <col min="12607" max="12607" width="15.7109375" customWidth="1"/>
    <col min="12608" max="12609" width="6.42578125" customWidth="1"/>
    <col min="12610" max="12610" width="24.5703125" customWidth="1"/>
    <col min="12611" max="12611" width="34.7109375" customWidth="1"/>
    <col min="12612" max="12612" width="16.42578125" customWidth="1"/>
    <col min="12613" max="12613" width="16" bestFit="1" customWidth="1"/>
    <col min="12614" max="12614" width="29.140625" customWidth="1"/>
    <col min="12615" max="12615" width="15.7109375" customWidth="1"/>
    <col min="12616" max="12617" width="6.42578125" customWidth="1"/>
    <col min="12618" max="12618" width="24.5703125" customWidth="1"/>
    <col min="12619" max="12619" width="34.7109375" customWidth="1"/>
    <col min="12620" max="12620" width="16.42578125" customWidth="1"/>
    <col min="12621" max="12621" width="16" bestFit="1" customWidth="1"/>
    <col min="12622" max="12622" width="29.140625" customWidth="1"/>
    <col min="12623" max="12623" width="15.7109375" customWidth="1"/>
    <col min="12624" max="12625" width="6.42578125" customWidth="1"/>
    <col min="12626" max="12626" width="24.5703125" customWidth="1"/>
    <col min="12627" max="12627" width="34.7109375" customWidth="1"/>
    <col min="12628" max="12628" width="16.42578125" customWidth="1"/>
    <col min="12629" max="12629" width="16" bestFit="1" customWidth="1"/>
    <col min="12630" max="12630" width="29.140625" customWidth="1"/>
    <col min="12631" max="12631" width="15.7109375" customWidth="1"/>
    <col min="12632" max="12633" width="6.42578125" customWidth="1"/>
    <col min="12634" max="12634" width="24.5703125" customWidth="1"/>
    <col min="12635" max="12635" width="34.7109375" customWidth="1"/>
    <col min="12636" max="12636" width="16.42578125" customWidth="1"/>
    <col min="12637" max="12637" width="16" bestFit="1" customWidth="1"/>
    <col min="12638" max="12638" width="29.140625" customWidth="1"/>
    <col min="12639" max="12639" width="15.7109375" customWidth="1"/>
    <col min="12640" max="12641" width="6.42578125" customWidth="1"/>
    <col min="12642" max="12642" width="24.5703125" customWidth="1"/>
    <col min="12643" max="12643" width="34.7109375" customWidth="1"/>
    <col min="12644" max="12644" width="16.42578125" customWidth="1"/>
    <col min="12645" max="12645" width="16" bestFit="1" customWidth="1"/>
    <col min="12646" max="12646" width="29.140625" customWidth="1"/>
    <col min="12647" max="12647" width="15.7109375" customWidth="1"/>
    <col min="12648" max="12649" width="6.42578125" customWidth="1"/>
    <col min="12650" max="12650" width="24.5703125" customWidth="1"/>
    <col min="12651" max="12651" width="34.7109375" customWidth="1"/>
    <col min="12652" max="12652" width="16.42578125" customWidth="1"/>
    <col min="12653" max="12653" width="16" bestFit="1" customWidth="1"/>
    <col min="12654" max="12654" width="29.140625" customWidth="1"/>
    <col min="12655" max="12655" width="15.7109375" customWidth="1"/>
    <col min="12656" max="12657" width="6.42578125" customWidth="1"/>
    <col min="12658" max="12658" width="24.5703125" customWidth="1"/>
    <col min="12659" max="12659" width="34.7109375" customWidth="1"/>
    <col min="12660" max="12660" width="16.42578125" customWidth="1"/>
    <col min="12661" max="12661" width="16" bestFit="1" customWidth="1"/>
    <col min="12662" max="12662" width="29.140625" customWidth="1"/>
    <col min="12663" max="12663" width="15.7109375" customWidth="1"/>
    <col min="12664" max="12665" width="6.42578125" customWidth="1"/>
    <col min="12666" max="12666" width="24.5703125" customWidth="1"/>
    <col min="12667" max="12667" width="34.7109375" customWidth="1"/>
    <col min="12668" max="12668" width="16.42578125" customWidth="1"/>
    <col min="12669" max="12669" width="16" bestFit="1" customWidth="1"/>
    <col min="12670" max="12670" width="29.140625" customWidth="1"/>
    <col min="12671" max="12671" width="15.7109375" customWidth="1"/>
    <col min="12672" max="12673" width="6.42578125" customWidth="1"/>
    <col min="12674" max="12674" width="24.5703125" customWidth="1"/>
    <col min="12675" max="12675" width="34.7109375" customWidth="1"/>
    <col min="12676" max="12676" width="16.42578125" customWidth="1"/>
    <col min="12677" max="12677" width="16" bestFit="1" customWidth="1"/>
    <col min="12678" max="12678" width="29.140625" customWidth="1"/>
    <col min="12679" max="12679" width="15.7109375" customWidth="1"/>
    <col min="12680" max="12681" width="6.42578125" customWidth="1"/>
    <col min="12682" max="12682" width="24.5703125" customWidth="1"/>
    <col min="12683" max="12683" width="34.7109375" customWidth="1"/>
    <col min="12684" max="12684" width="16.42578125" customWidth="1"/>
    <col min="12685" max="12685" width="16" bestFit="1" customWidth="1"/>
    <col min="12686" max="12686" width="29.140625" customWidth="1"/>
    <col min="12687" max="12687" width="15.7109375" customWidth="1"/>
    <col min="12688" max="12689" width="6.42578125" customWidth="1"/>
    <col min="12690" max="12690" width="24.5703125" customWidth="1"/>
    <col min="12691" max="12691" width="34.7109375" customWidth="1"/>
    <col min="12692" max="12692" width="16.42578125" customWidth="1"/>
    <col min="12693" max="12693" width="16" bestFit="1" customWidth="1"/>
    <col min="12694" max="12694" width="29.140625" customWidth="1"/>
    <col min="12695" max="12695" width="15.7109375" customWidth="1"/>
    <col min="12696" max="12697" width="6.42578125" customWidth="1"/>
    <col min="12698" max="12698" width="24.5703125" customWidth="1"/>
    <col min="12699" max="12699" width="34.7109375" customWidth="1"/>
    <col min="12700" max="12700" width="16.42578125" customWidth="1"/>
    <col min="12701" max="12701" width="16" bestFit="1" customWidth="1"/>
    <col min="12702" max="12702" width="29.140625" customWidth="1"/>
    <col min="12703" max="12703" width="15.7109375" customWidth="1"/>
    <col min="12704" max="12705" width="6.42578125" customWidth="1"/>
    <col min="12706" max="12706" width="24.5703125" customWidth="1"/>
    <col min="12707" max="12707" width="34.7109375" customWidth="1"/>
    <col min="12708" max="12708" width="16.42578125" customWidth="1"/>
    <col min="12709" max="12709" width="16" bestFit="1" customWidth="1"/>
    <col min="12710" max="12710" width="29.140625" customWidth="1"/>
    <col min="12711" max="12711" width="15.7109375" customWidth="1"/>
    <col min="12712" max="12713" width="6.42578125" customWidth="1"/>
    <col min="12714" max="12714" width="24.5703125" customWidth="1"/>
    <col min="12715" max="12715" width="34.7109375" customWidth="1"/>
    <col min="12716" max="12716" width="16.42578125" customWidth="1"/>
    <col min="12717" max="12717" width="16" bestFit="1" customWidth="1"/>
    <col min="12718" max="12718" width="29.140625" customWidth="1"/>
    <col min="12719" max="12719" width="15.7109375" customWidth="1"/>
    <col min="12720" max="12721" width="6.42578125" customWidth="1"/>
    <col min="12722" max="12722" width="24.5703125" customWidth="1"/>
    <col min="12723" max="12723" width="34.7109375" customWidth="1"/>
    <col min="12724" max="12724" width="16.42578125" customWidth="1"/>
    <col min="12725" max="12725" width="16" bestFit="1" customWidth="1"/>
    <col min="12726" max="12726" width="29.140625" customWidth="1"/>
    <col min="12727" max="12727" width="15.7109375" customWidth="1"/>
    <col min="12728" max="12729" width="6.42578125" customWidth="1"/>
    <col min="12730" max="12730" width="24.5703125" customWidth="1"/>
    <col min="12731" max="12731" width="34.7109375" customWidth="1"/>
    <col min="12732" max="12732" width="16.42578125" customWidth="1"/>
    <col min="12733" max="12733" width="16" bestFit="1" customWidth="1"/>
    <col min="12734" max="12734" width="29.140625" customWidth="1"/>
    <col min="12735" max="12735" width="15.7109375" customWidth="1"/>
    <col min="12736" max="12737" width="6.42578125" customWidth="1"/>
    <col min="12738" max="12738" width="24.5703125" customWidth="1"/>
    <col min="12739" max="12739" width="34.7109375" customWidth="1"/>
    <col min="12740" max="12740" width="16.42578125" customWidth="1"/>
    <col min="12741" max="12741" width="16" bestFit="1" customWidth="1"/>
    <col min="12742" max="12742" width="29.140625" customWidth="1"/>
    <col min="12743" max="12743" width="15.7109375" customWidth="1"/>
    <col min="12744" max="12745" width="6.42578125" customWidth="1"/>
    <col min="12746" max="12746" width="24.5703125" customWidth="1"/>
    <col min="12747" max="12747" width="34.7109375" customWidth="1"/>
    <col min="12748" max="12748" width="16.42578125" customWidth="1"/>
    <col min="12749" max="12749" width="16" bestFit="1" customWidth="1"/>
    <col min="12750" max="12750" width="29.140625" customWidth="1"/>
    <col min="12751" max="12751" width="15.7109375" customWidth="1"/>
    <col min="12752" max="12753" width="6.42578125" customWidth="1"/>
    <col min="12754" max="12754" width="24.5703125" customWidth="1"/>
    <col min="12755" max="12755" width="34.7109375" customWidth="1"/>
    <col min="12756" max="12756" width="16.42578125" customWidth="1"/>
    <col min="12757" max="12757" width="16" bestFit="1" customWidth="1"/>
    <col min="12758" max="12758" width="29.140625" customWidth="1"/>
    <col min="12759" max="12759" width="15.7109375" customWidth="1"/>
    <col min="12760" max="12761" width="6.42578125" customWidth="1"/>
    <col min="12762" max="12762" width="24.5703125" customWidth="1"/>
    <col min="12763" max="12763" width="34.7109375" customWidth="1"/>
    <col min="12764" max="12764" width="16.42578125" customWidth="1"/>
    <col min="12765" max="12765" width="16" bestFit="1" customWidth="1"/>
    <col min="12766" max="12766" width="29.140625" customWidth="1"/>
    <col min="12767" max="12767" width="15.7109375" customWidth="1"/>
    <col min="12768" max="12769" width="6.42578125" customWidth="1"/>
    <col min="12770" max="12770" width="24.5703125" customWidth="1"/>
    <col min="12771" max="12771" width="34.7109375" customWidth="1"/>
    <col min="12772" max="12772" width="16.42578125" customWidth="1"/>
    <col min="12773" max="12773" width="16" bestFit="1" customWidth="1"/>
    <col min="12774" max="12774" width="29.140625" customWidth="1"/>
    <col min="12775" max="12775" width="15.7109375" customWidth="1"/>
    <col min="12776" max="12777" width="6.42578125" customWidth="1"/>
    <col min="12778" max="12778" width="24.5703125" customWidth="1"/>
    <col min="12779" max="12779" width="34.7109375" customWidth="1"/>
    <col min="12780" max="12780" width="16.42578125" customWidth="1"/>
    <col min="12781" max="12781" width="16" bestFit="1" customWidth="1"/>
    <col min="12782" max="12782" width="29.140625" customWidth="1"/>
    <col min="12783" max="12783" width="15.7109375" customWidth="1"/>
    <col min="12784" max="12785" width="6.42578125" customWidth="1"/>
    <col min="12786" max="12786" width="24.5703125" customWidth="1"/>
    <col min="12787" max="12787" width="34.7109375" customWidth="1"/>
    <col min="12788" max="12788" width="16.42578125" customWidth="1"/>
    <col min="12789" max="12789" width="16" bestFit="1" customWidth="1"/>
    <col min="12790" max="12790" width="29.140625" customWidth="1"/>
    <col min="12791" max="12791" width="15.7109375" customWidth="1"/>
    <col min="12792" max="12793" width="6.42578125" customWidth="1"/>
    <col min="12794" max="12794" width="24.5703125" customWidth="1"/>
    <col min="12795" max="12795" width="34.7109375" customWidth="1"/>
    <col min="12796" max="12796" width="16.42578125" customWidth="1"/>
    <col min="12797" max="12797" width="16" bestFit="1" customWidth="1"/>
    <col min="12798" max="12798" width="29.140625" customWidth="1"/>
    <col min="12799" max="12799" width="15.7109375" customWidth="1"/>
    <col min="12800" max="12801" width="6.42578125" customWidth="1"/>
    <col min="12802" max="12802" width="24.5703125" customWidth="1"/>
    <col min="12803" max="12803" width="34.7109375" customWidth="1"/>
    <col min="12804" max="12804" width="16.42578125" customWidth="1"/>
    <col min="12805" max="12805" width="16" bestFit="1" customWidth="1"/>
    <col min="12806" max="12806" width="29.140625" customWidth="1"/>
    <col min="12807" max="12807" width="15.7109375" customWidth="1"/>
    <col min="12808" max="12809" width="6.42578125" customWidth="1"/>
    <col min="12810" max="12810" width="24.5703125" customWidth="1"/>
    <col min="12811" max="12811" width="34.7109375" customWidth="1"/>
    <col min="12812" max="12812" width="16.42578125" customWidth="1"/>
    <col min="12813" max="12813" width="16" bestFit="1" customWidth="1"/>
    <col min="12814" max="12814" width="29.140625" customWidth="1"/>
    <col min="12815" max="12815" width="15.7109375" customWidth="1"/>
    <col min="12816" max="12817" width="6.42578125" customWidth="1"/>
    <col min="12818" max="12818" width="24.5703125" customWidth="1"/>
    <col min="12819" max="12819" width="34.7109375" customWidth="1"/>
    <col min="12820" max="12820" width="16.42578125" customWidth="1"/>
    <col min="12821" max="12821" width="16" bestFit="1" customWidth="1"/>
    <col min="12822" max="12822" width="29.140625" customWidth="1"/>
    <col min="12823" max="12823" width="15.7109375" customWidth="1"/>
    <col min="12824" max="12825" width="6.42578125" customWidth="1"/>
    <col min="12826" max="12826" width="24.5703125" customWidth="1"/>
    <col min="12827" max="12827" width="34.7109375" customWidth="1"/>
    <col min="12828" max="12828" width="16.42578125" customWidth="1"/>
    <col min="12829" max="12829" width="16" bestFit="1" customWidth="1"/>
    <col min="12830" max="12830" width="29.140625" customWidth="1"/>
    <col min="12831" max="12831" width="15.7109375" customWidth="1"/>
    <col min="12832" max="12833" width="6.42578125" customWidth="1"/>
    <col min="12834" max="12834" width="24.5703125" customWidth="1"/>
    <col min="12835" max="12835" width="34.7109375" customWidth="1"/>
    <col min="12836" max="12836" width="16.42578125" customWidth="1"/>
    <col min="12837" max="12837" width="16" bestFit="1" customWidth="1"/>
    <col min="12838" max="12838" width="29.140625" customWidth="1"/>
    <col min="12839" max="12839" width="15.7109375" customWidth="1"/>
    <col min="12840" max="12841" width="6.42578125" customWidth="1"/>
    <col min="12842" max="12842" width="24.5703125" customWidth="1"/>
    <col min="12843" max="12843" width="34.7109375" customWidth="1"/>
    <col min="12844" max="12844" width="16.42578125" customWidth="1"/>
    <col min="12845" max="12845" width="16" bestFit="1" customWidth="1"/>
    <col min="12846" max="12846" width="29.140625" customWidth="1"/>
    <col min="12847" max="12847" width="15.7109375" customWidth="1"/>
    <col min="12848" max="12849" width="6.42578125" customWidth="1"/>
    <col min="12850" max="12850" width="24.5703125" customWidth="1"/>
    <col min="12851" max="12851" width="34.7109375" customWidth="1"/>
    <col min="12852" max="12852" width="16.42578125" customWidth="1"/>
    <col min="12853" max="12853" width="16" bestFit="1" customWidth="1"/>
    <col min="12854" max="12854" width="29.140625" customWidth="1"/>
    <col min="12855" max="12855" width="15.7109375" customWidth="1"/>
    <col min="12856" max="12857" width="6.42578125" customWidth="1"/>
    <col min="12858" max="12858" width="24.5703125" customWidth="1"/>
    <col min="12859" max="12859" width="34.7109375" customWidth="1"/>
    <col min="12860" max="12860" width="16.42578125" customWidth="1"/>
    <col min="12861" max="12861" width="16" bestFit="1" customWidth="1"/>
    <col min="12862" max="12862" width="29.140625" customWidth="1"/>
    <col min="12863" max="12863" width="15.7109375" customWidth="1"/>
    <col min="12864" max="12865" width="6.42578125" customWidth="1"/>
    <col min="12866" max="12866" width="24.5703125" customWidth="1"/>
    <col min="12867" max="12867" width="34.7109375" customWidth="1"/>
    <col min="12868" max="12868" width="16.42578125" customWidth="1"/>
    <col min="12869" max="12869" width="16" bestFit="1" customWidth="1"/>
    <col min="12870" max="12870" width="29.140625" customWidth="1"/>
    <col min="12871" max="12871" width="15.7109375" customWidth="1"/>
    <col min="12872" max="12873" width="6.42578125" customWidth="1"/>
    <col min="12874" max="12874" width="24.5703125" customWidth="1"/>
    <col min="12875" max="12875" width="34.7109375" customWidth="1"/>
    <col min="12876" max="12876" width="16.42578125" customWidth="1"/>
    <col min="12877" max="12877" width="16" bestFit="1" customWidth="1"/>
    <col min="12878" max="12878" width="29.140625" customWidth="1"/>
    <col min="12879" max="12879" width="15.7109375" customWidth="1"/>
    <col min="12880" max="12881" width="6.42578125" customWidth="1"/>
    <col min="12882" max="12882" width="24.5703125" customWidth="1"/>
    <col min="12883" max="12883" width="34.7109375" customWidth="1"/>
    <col min="12884" max="12884" width="16.42578125" customWidth="1"/>
    <col min="12885" max="12885" width="16" bestFit="1" customWidth="1"/>
    <col min="12886" max="12886" width="29.140625" customWidth="1"/>
    <col min="12887" max="12887" width="15.7109375" customWidth="1"/>
    <col min="12888" max="12889" width="6.42578125" customWidth="1"/>
    <col min="12890" max="12890" width="24.5703125" customWidth="1"/>
    <col min="12891" max="12891" width="34.7109375" customWidth="1"/>
    <col min="12892" max="12892" width="16.42578125" customWidth="1"/>
    <col min="12893" max="12893" width="16" bestFit="1" customWidth="1"/>
    <col min="12894" max="12894" width="29.140625" customWidth="1"/>
    <col min="12895" max="12895" width="15.7109375" customWidth="1"/>
    <col min="12896" max="12897" width="6.42578125" customWidth="1"/>
    <col min="12898" max="12898" width="24.5703125" customWidth="1"/>
    <col min="12899" max="12899" width="34.7109375" customWidth="1"/>
    <col min="12900" max="12900" width="16.42578125" customWidth="1"/>
    <col min="12901" max="12901" width="16" bestFit="1" customWidth="1"/>
    <col min="12902" max="12902" width="29.140625" customWidth="1"/>
    <col min="12903" max="12903" width="15.7109375" customWidth="1"/>
    <col min="12904" max="12905" width="6.42578125" customWidth="1"/>
    <col min="12906" max="12906" width="24.5703125" customWidth="1"/>
    <col min="12907" max="12907" width="34.7109375" customWidth="1"/>
    <col min="12908" max="12908" width="16.42578125" customWidth="1"/>
    <col min="12909" max="12909" width="16" bestFit="1" customWidth="1"/>
    <col min="12910" max="12910" width="29.140625" customWidth="1"/>
    <col min="12911" max="12911" width="15.7109375" customWidth="1"/>
    <col min="12912" max="12913" width="6.42578125" customWidth="1"/>
    <col min="12914" max="12914" width="24.5703125" customWidth="1"/>
    <col min="12915" max="12915" width="34.7109375" customWidth="1"/>
    <col min="12916" max="12916" width="16.42578125" customWidth="1"/>
    <col min="12917" max="12917" width="16" bestFit="1" customWidth="1"/>
    <col min="12918" max="12918" width="29.140625" customWidth="1"/>
    <col min="12919" max="12919" width="15.7109375" customWidth="1"/>
    <col min="12920" max="12921" width="6.42578125" customWidth="1"/>
    <col min="12922" max="12922" width="24.5703125" customWidth="1"/>
    <col min="12923" max="12923" width="34.7109375" customWidth="1"/>
    <col min="12924" max="12924" width="16.42578125" customWidth="1"/>
    <col min="12925" max="12925" width="16" bestFit="1" customWidth="1"/>
    <col min="12926" max="12926" width="29.140625" customWidth="1"/>
    <col min="12927" max="12927" width="15.7109375" customWidth="1"/>
    <col min="12928" max="12929" width="6.42578125" customWidth="1"/>
    <col min="12930" max="12930" width="24.5703125" customWidth="1"/>
    <col min="12931" max="12931" width="34.7109375" customWidth="1"/>
    <col min="12932" max="12932" width="16.42578125" customWidth="1"/>
    <col min="12933" max="12933" width="16" bestFit="1" customWidth="1"/>
    <col min="12934" max="12934" width="29.140625" customWidth="1"/>
    <col min="12935" max="12935" width="15.7109375" customWidth="1"/>
    <col min="12936" max="12937" width="6.42578125" customWidth="1"/>
    <col min="12938" max="12938" width="24.5703125" customWidth="1"/>
    <col min="12939" max="12939" width="34.7109375" customWidth="1"/>
    <col min="12940" max="12940" width="16.42578125" customWidth="1"/>
    <col min="12941" max="12941" width="16" bestFit="1" customWidth="1"/>
    <col min="12942" max="12942" width="29.140625" customWidth="1"/>
    <col min="12943" max="12943" width="15.7109375" customWidth="1"/>
    <col min="12944" max="12945" width="6.42578125" customWidth="1"/>
    <col min="12946" max="12946" width="24.5703125" customWidth="1"/>
    <col min="12947" max="12947" width="34.7109375" customWidth="1"/>
    <col min="12948" max="12948" width="16.42578125" customWidth="1"/>
    <col min="12949" max="12949" width="16" bestFit="1" customWidth="1"/>
    <col min="12950" max="12950" width="29.140625" customWidth="1"/>
    <col min="12951" max="12951" width="15.7109375" customWidth="1"/>
    <col min="12952" max="12953" width="6.42578125" customWidth="1"/>
    <col min="12954" max="12954" width="24.5703125" customWidth="1"/>
    <col min="12955" max="12955" width="34.7109375" customWidth="1"/>
    <col min="12956" max="12956" width="16.42578125" customWidth="1"/>
    <col min="12957" max="12957" width="16" bestFit="1" customWidth="1"/>
    <col min="12958" max="12958" width="29.140625" customWidth="1"/>
    <col min="12959" max="12959" width="15.7109375" customWidth="1"/>
    <col min="12960" max="12961" width="6.42578125" customWidth="1"/>
    <col min="12962" max="12962" width="24.5703125" customWidth="1"/>
    <col min="12963" max="12963" width="34.7109375" customWidth="1"/>
    <col min="12964" max="12964" width="16.42578125" customWidth="1"/>
    <col min="12965" max="12965" width="16" bestFit="1" customWidth="1"/>
    <col min="12966" max="12966" width="29.140625" customWidth="1"/>
    <col min="12967" max="12967" width="15.7109375" customWidth="1"/>
    <col min="12968" max="12969" width="6.42578125" customWidth="1"/>
    <col min="12970" max="12970" width="24.5703125" customWidth="1"/>
    <col min="12971" max="12971" width="34.7109375" customWidth="1"/>
    <col min="12972" max="12972" width="16.42578125" customWidth="1"/>
    <col min="12973" max="12973" width="16" bestFit="1" customWidth="1"/>
    <col min="12974" max="12974" width="29.140625" customWidth="1"/>
    <col min="12975" max="12975" width="15.7109375" customWidth="1"/>
    <col min="12976" max="12977" width="6.42578125" customWidth="1"/>
    <col min="12978" max="12978" width="24.5703125" customWidth="1"/>
    <col min="12979" max="12979" width="34.7109375" customWidth="1"/>
    <col min="12980" max="12980" width="16.42578125" customWidth="1"/>
    <col min="12981" max="12981" width="16" bestFit="1" customWidth="1"/>
    <col min="12982" max="12982" width="29.140625" customWidth="1"/>
    <col min="12983" max="12983" width="15.7109375" customWidth="1"/>
    <col min="12984" max="12985" width="6.42578125" customWidth="1"/>
    <col min="12986" max="12986" width="24.5703125" customWidth="1"/>
    <col min="12987" max="12987" width="34.7109375" customWidth="1"/>
    <col min="12988" max="12988" width="16.42578125" customWidth="1"/>
    <col min="12989" max="12989" width="16" bestFit="1" customWidth="1"/>
    <col min="12990" max="12990" width="29.140625" customWidth="1"/>
    <col min="12991" max="12991" width="15.7109375" customWidth="1"/>
    <col min="12992" max="12993" width="6.42578125" customWidth="1"/>
    <col min="12994" max="12994" width="24.5703125" customWidth="1"/>
    <col min="12995" max="12995" width="34.7109375" customWidth="1"/>
    <col min="12996" max="12996" width="16.42578125" customWidth="1"/>
    <col min="12997" max="12997" width="16" bestFit="1" customWidth="1"/>
    <col min="12998" max="12998" width="29.140625" customWidth="1"/>
    <col min="12999" max="12999" width="15.7109375" customWidth="1"/>
    <col min="13000" max="13001" width="6.42578125" customWidth="1"/>
    <col min="13002" max="13002" width="24.5703125" customWidth="1"/>
    <col min="13003" max="13003" width="34.7109375" customWidth="1"/>
    <col min="13004" max="13004" width="16.42578125" customWidth="1"/>
    <col min="13005" max="13005" width="16" bestFit="1" customWidth="1"/>
    <col min="13006" max="13006" width="29.140625" customWidth="1"/>
    <col min="13007" max="13007" width="15.7109375" customWidth="1"/>
    <col min="13008" max="13009" width="6.42578125" customWidth="1"/>
    <col min="13010" max="13010" width="24.5703125" customWidth="1"/>
    <col min="13011" max="13011" width="34.7109375" customWidth="1"/>
    <col min="13012" max="13012" width="16.42578125" customWidth="1"/>
    <col min="13013" max="13013" width="16" bestFit="1" customWidth="1"/>
    <col min="13014" max="13014" width="29.140625" customWidth="1"/>
    <col min="13015" max="13015" width="15.7109375" customWidth="1"/>
    <col min="13016" max="13017" width="6.42578125" customWidth="1"/>
    <col min="13018" max="13018" width="24.5703125" customWidth="1"/>
    <col min="13019" max="13019" width="34.7109375" customWidth="1"/>
    <col min="13020" max="13020" width="16.42578125" customWidth="1"/>
    <col min="13021" max="13021" width="16" bestFit="1" customWidth="1"/>
    <col min="13022" max="13022" width="29.140625" customWidth="1"/>
    <col min="13023" max="13023" width="15.7109375" customWidth="1"/>
    <col min="13024" max="13025" width="6.42578125" customWidth="1"/>
    <col min="13026" max="13026" width="24.5703125" customWidth="1"/>
    <col min="13027" max="13027" width="34.7109375" customWidth="1"/>
    <col min="13028" max="13028" width="16.42578125" customWidth="1"/>
    <col min="13029" max="13029" width="16" bestFit="1" customWidth="1"/>
    <col min="13030" max="13030" width="29.140625" customWidth="1"/>
    <col min="13031" max="13031" width="15.7109375" customWidth="1"/>
    <col min="13032" max="13033" width="6.42578125" customWidth="1"/>
    <col min="13034" max="13034" width="24.5703125" customWidth="1"/>
    <col min="13035" max="13035" width="34.7109375" customWidth="1"/>
    <col min="13036" max="13036" width="16.42578125" customWidth="1"/>
    <col min="13037" max="13037" width="16" bestFit="1" customWidth="1"/>
    <col min="13038" max="13038" width="29.140625" customWidth="1"/>
    <col min="13039" max="13039" width="15.7109375" customWidth="1"/>
    <col min="13040" max="13041" width="6.42578125" customWidth="1"/>
    <col min="13042" max="13042" width="24.5703125" customWidth="1"/>
    <col min="13043" max="13043" width="34.7109375" customWidth="1"/>
    <col min="13044" max="13044" width="16.42578125" customWidth="1"/>
    <col min="13045" max="13045" width="16" bestFit="1" customWidth="1"/>
    <col min="13046" max="13046" width="29.140625" customWidth="1"/>
    <col min="13047" max="13047" width="15.7109375" customWidth="1"/>
    <col min="13048" max="13049" width="6.42578125" customWidth="1"/>
    <col min="13050" max="13050" width="24.5703125" customWidth="1"/>
    <col min="13051" max="13051" width="34.7109375" customWidth="1"/>
    <col min="13052" max="13052" width="16.42578125" customWidth="1"/>
    <col min="13053" max="13053" width="16" bestFit="1" customWidth="1"/>
    <col min="13054" max="13054" width="29.140625" customWidth="1"/>
    <col min="13055" max="13055" width="15.7109375" customWidth="1"/>
    <col min="13056" max="13057" width="6.42578125" customWidth="1"/>
    <col min="13058" max="13058" width="24.5703125" customWidth="1"/>
    <col min="13059" max="13059" width="34.7109375" customWidth="1"/>
    <col min="13060" max="13060" width="16.42578125" customWidth="1"/>
    <col min="13061" max="13061" width="16" bestFit="1" customWidth="1"/>
    <col min="13062" max="13062" width="29.140625" customWidth="1"/>
    <col min="13063" max="13063" width="15.7109375" customWidth="1"/>
    <col min="13064" max="13065" width="6.42578125" customWidth="1"/>
    <col min="13066" max="13066" width="24.5703125" customWidth="1"/>
    <col min="13067" max="13067" width="34.7109375" customWidth="1"/>
    <col min="13068" max="13068" width="16.42578125" customWidth="1"/>
    <col min="13069" max="13069" width="16" bestFit="1" customWidth="1"/>
    <col min="13070" max="13070" width="29.140625" customWidth="1"/>
    <col min="13071" max="13071" width="15.7109375" customWidth="1"/>
    <col min="13072" max="13073" width="6.42578125" customWidth="1"/>
    <col min="13074" max="13074" width="24.5703125" customWidth="1"/>
    <col min="13075" max="13075" width="34.7109375" customWidth="1"/>
    <col min="13076" max="13076" width="16.42578125" customWidth="1"/>
    <col min="13077" max="13077" width="16" bestFit="1" customWidth="1"/>
    <col min="13078" max="13078" width="29.140625" customWidth="1"/>
    <col min="13079" max="13079" width="15.7109375" customWidth="1"/>
    <col min="13080" max="13081" width="6.42578125" customWidth="1"/>
    <col min="13082" max="13082" width="24.5703125" customWidth="1"/>
    <col min="13083" max="13083" width="34.7109375" customWidth="1"/>
    <col min="13084" max="13084" width="16.42578125" customWidth="1"/>
    <col min="13085" max="13085" width="16" bestFit="1" customWidth="1"/>
    <col min="13086" max="13086" width="29.140625" customWidth="1"/>
    <col min="13087" max="13087" width="15.7109375" customWidth="1"/>
    <col min="13088" max="13089" width="6.42578125" customWidth="1"/>
    <col min="13090" max="13090" width="24.5703125" customWidth="1"/>
    <col min="13091" max="13091" width="34.7109375" customWidth="1"/>
    <col min="13092" max="13092" width="16.42578125" customWidth="1"/>
    <col min="13093" max="13093" width="16" bestFit="1" customWidth="1"/>
    <col min="13094" max="13094" width="29.140625" customWidth="1"/>
    <col min="13095" max="13095" width="15.7109375" customWidth="1"/>
    <col min="13096" max="13097" width="6.42578125" customWidth="1"/>
    <col min="13098" max="13098" width="24.5703125" customWidth="1"/>
    <col min="13099" max="13099" width="34.7109375" customWidth="1"/>
    <col min="13100" max="13100" width="16.42578125" customWidth="1"/>
    <col min="13101" max="13101" width="16" bestFit="1" customWidth="1"/>
    <col min="13102" max="13102" width="29.140625" customWidth="1"/>
    <col min="13103" max="13103" width="15.7109375" customWidth="1"/>
    <col min="13104" max="13105" width="6.42578125" customWidth="1"/>
    <col min="13106" max="13106" width="24.5703125" customWidth="1"/>
    <col min="13107" max="13107" width="34.7109375" customWidth="1"/>
    <col min="13108" max="13108" width="16.42578125" customWidth="1"/>
    <col min="13109" max="13109" width="16" bestFit="1" customWidth="1"/>
    <col min="13110" max="13110" width="29.140625" customWidth="1"/>
    <col min="13111" max="13111" width="15.7109375" customWidth="1"/>
    <col min="13112" max="13113" width="6.42578125" customWidth="1"/>
    <col min="13114" max="13114" width="24.5703125" customWidth="1"/>
    <col min="13115" max="13115" width="34.7109375" customWidth="1"/>
    <col min="13116" max="13116" width="16.42578125" customWidth="1"/>
    <col min="13117" max="13117" width="16" bestFit="1" customWidth="1"/>
    <col min="13118" max="13118" width="29.140625" customWidth="1"/>
    <col min="13119" max="13119" width="15.7109375" customWidth="1"/>
    <col min="13120" max="13121" width="6.42578125" customWidth="1"/>
    <col min="13122" max="13122" width="24.5703125" customWidth="1"/>
    <col min="13123" max="13123" width="34.7109375" customWidth="1"/>
    <col min="13124" max="13124" width="16.42578125" customWidth="1"/>
    <col min="13125" max="13125" width="16" bestFit="1" customWidth="1"/>
    <col min="13126" max="13126" width="29.140625" customWidth="1"/>
    <col min="13127" max="13127" width="15.7109375" customWidth="1"/>
    <col min="13128" max="13129" width="6.42578125" customWidth="1"/>
    <col min="13130" max="13130" width="24.5703125" customWidth="1"/>
    <col min="13131" max="13131" width="34.7109375" customWidth="1"/>
    <col min="13132" max="13132" width="16.42578125" customWidth="1"/>
    <col min="13133" max="13133" width="16" bestFit="1" customWidth="1"/>
    <col min="13134" max="13134" width="29.140625" customWidth="1"/>
    <col min="13135" max="13135" width="15.7109375" customWidth="1"/>
    <col min="13136" max="13137" width="6.42578125" customWidth="1"/>
    <col min="13138" max="13138" width="24.5703125" customWidth="1"/>
    <col min="13139" max="13139" width="34.7109375" customWidth="1"/>
    <col min="13140" max="13140" width="16.42578125" customWidth="1"/>
    <col min="13141" max="13141" width="16" bestFit="1" customWidth="1"/>
    <col min="13142" max="13142" width="29.140625" customWidth="1"/>
    <col min="13143" max="13143" width="15.7109375" customWidth="1"/>
    <col min="13144" max="13145" width="6.42578125" customWidth="1"/>
    <col min="13146" max="13146" width="24.5703125" customWidth="1"/>
    <col min="13147" max="13147" width="34.7109375" customWidth="1"/>
    <col min="13148" max="13148" width="16.42578125" customWidth="1"/>
    <col min="13149" max="13149" width="16" bestFit="1" customWidth="1"/>
    <col min="13150" max="13150" width="29.140625" customWidth="1"/>
    <col min="13151" max="13151" width="15.7109375" customWidth="1"/>
    <col min="13152" max="13153" width="6.42578125" customWidth="1"/>
    <col min="13154" max="13154" width="24.5703125" customWidth="1"/>
    <col min="13155" max="13155" width="34.7109375" customWidth="1"/>
    <col min="13156" max="13156" width="16.42578125" customWidth="1"/>
    <col min="13157" max="13157" width="16" bestFit="1" customWidth="1"/>
    <col min="13158" max="13158" width="29.140625" customWidth="1"/>
    <col min="13159" max="13159" width="15.7109375" customWidth="1"/>
    <col min="13160" max="13161" width="6.42578125" customWidth="1"/>
    <col min="13162" max="13162" width="24.5703125" customWidth="1"/>
    <col min="13163" max="13163" width="34.7109375" customWidth="1"/>
    <col min="13164" max="13164" width="16.42578125" customWidth="1"/>
    <col min="13165" max="13165" width="16" bestFit="1" customWidth="1"/>
    <col min="13166" max="13166" width="29.140625" customWidth="1"/>
    <col min="13167" max="13167" width="15.7109375" customWidth="1"/>
    <col min="13168" max="13169" width="6.42578125" customWidth="1"/>
    <col min="13170" max="13170" width="24.5703125" customWidth="1"/>
    <col min="13171" max="13171" width="34.7109375" customWidth="1"/>
    <col min="13172" max="13172" width="16.42578125" customWidth="1"/>
    <col min="13173" max="13173" width="16" bestFit="1" customWidth="1"/>
    <col min="13174" max="13174" width="29.140625" customWidth="1"/>
    <col min="13175" max="13175" width="15.7109375" customWidth="1"/>
    <col min="13176" max="13177" width="6.42578125" customWidth="1"/>
    <col min="13178" max="13178" width="24.5703125" customWidth="1"/>
    <col min="13179" max="13179" width="34.7109375" customWidth="1"/>
    <col min="13180" max="13180" width="16.42578125" customWidth="1"/>
    <col min="13181" max="13181" width="16" bestFit="1" customWidth="1"/>
    <col min="13182" max="13182" width="29.140625" customWidth="1"/>
    <col min="13183" max="13183" width="15.7109375" customWidth="1"/>
    <col min="13184" max="13185" width="6.42578125" customWidth="1"/>
    <col min="13186" max="13186" width="24.5703125" customWidth="1"/>
    <col min="13187" max="13187" width="34.7109375" customWidth="1"/>
    <col min="13188" max="13188" width="16.42578125" customWidth="1"/>
    <col min="13189" max="13189" width="16" bestFit="1" customWidth="1"/>
    <col min="13190" max="13190" width="29.140625" customWidth="1"/>
    <col min="13191" max="13191" width="15.7109375" customWidth="1"/>
    <col min="13192" max="13193" width="6.42578125" customWidth="1"/>
    <col min="13194" max="13194" width="24.5703125" customWidth="1"/>
    <col min="13195" max="13195" width="34.7109375" customWidth="1"/>
    <col min="13196" max="13196" width="16.42578125" customWidth="1"/>
    <col min="13197" max="13197" width="16" bestFit="1" customWidth="1"/>
    <col min="13198" max="13198" width="29.140625" customWidth="1"/>
    <col min="13199" max="13199" width="15.7109375" customWidth="1"/>
    <col min="13200" max="13201" width="6.42578125" customWidth="1"/>
    <col min="13202" max="13202" width="24.5703125" customWidth="1"/>
    <col min="13203" max="13203" width="34.7109375" customWidth="1"/>
    <col min="13204" max="13204" width="16.42578125" customWidth="1"/>
    <col min="13205" max="13205" width="16" bestFit="1" customWidth="1"/>
    <col min="13206" max="13206" width="29.140625" customWidth="1"/>
    <col min="13207" max="13207" width="15.7109375" customWidth="1"/>
    <col min="13208" max="13209" width="6.42578125" customWidth="1"/>
    <col min="13210" max="13210" width="24.5703125" customWidth="1"/>
    <col min="13211" max="13211" width="34.7109375" customWidth="1"/>
    <col min="13212" max="13212" width="16.42578125" customWidth="1"/>
    <col min="13213" max="13213" width="16" bestFit="1" customWidth="1"/>
    <col min="13214" max="13214" width="29.140625" customWidth="1"/>
    <col min="13215" max="13215" width="15.7109375" customWidth="1"/>
    <col min="13216" max="13217" width="6.42578125" customWidth="1"/>
    <col min="13218" max="13218" width="24.5703125" customWidth="1"/>
    <col min="13219" max="13219" width="34.7109375" customWidth="1"/>
    <col min="13220" max="13220" width="16.42578125" customWidth="1"/>
    <col min="13221" max="13221" width="16" bestFit="1" customWidth="1"/>
    <col min="13222" max="13222" width="29.140625" customWidth="1"/>
    <col min="13223" max="13223" width="15.7109375" customWidth="1"/>
    <col min="13224" max="13225" width="6.42578125" customWidth="1"/>
    <col min="13226" max="13226" width="24.5703125" customWidth="1"/>
    <col min="13227" max="13227" width="34.7109375" customWidth="1"/>
    <col min="13228" max="13228" width="16.42578125" customWidth="1"/>
    <col min="13229" max="13229" width="16" bestFit="1" customWidth="1"/>
    <col min="13230" max="13230" width="29.140625" customWidth="1"/>
    <col min="13231" max="13231" width="15.7109375" customWidth="1"/>
    <col min="13232" max="13233" width="6.42578125" customWidth="1"/>
    <col min="13234" max="13234" width="24.5703125" customWidth="1"/>
    <col min="13235" max="13235" width="34.7109375" customWidth="1"/>
    <col min="13236" max="13236" width="16.42578125" customWidth="1"/>
    <col min="13237" max="13237" width="16" bestFit="1" customWidth="1"/>
    <col min="13238" max="13238" width="29.140625" customWidth="1"/>
    <col min="13239" max="13239" width="15.7109375" customWidth="1"/>
    <col min="13240" max="13241" width="6.42578125" customWidth="1"/>
    <col min="13242" max="13242" width="24.5703125" customWidth="1"/>
    <col min="13243" max="13243" width="34.7109375" customWidth="1"/>
    <col min="13244" max="13244" width="16.42578125" customWidth="1"/>
    <col min="13245" max="13245" width="16" bestFit="1" customWidth="1"/>
    <col min="13246" max="13246" width="29.140625" customWidth="1"/>
    <col min="13247" max="13247" width="15.7109375" customWidth="1"/>
    <col min="13248" max="13249" width="6.42578125" customWidth="1"/>
    <col min="13250" max="13250" width="24.5703125" customWidth="1"/>
    <col min="13251" max="13251" width="34.7109375" customWidth="1"/>
    <col min="13252" max="13252" width="16.42578125" customWidth="1"/>
    <col min="13253" max="13253" width="16" bestFit="1" customWidth="1"/>
    <col min="13254" max="13254" width="29.140625" customWidth="1"/>
    <col min="13255" max="13255" width="15.7109375" customWidth="1"/>
    <col min="13256" max="13257" width="6.42578125" customWidth="1"/>
    <col min="13258" max="13258" width="24.5703125" customWidth="1"/>
    <col min="13259" max="13259" width="34.7109375" customWidth="1"/>
    <col min="13260" max="13260" width="16.42578125" customWidth="1"/>
    <col min="13261" max="13261" width="16" bestFit="1" customWidth="1"/>
    <col min="13262" max="13262" width="29.140625" customWidth="1"/>
    <col min="13263" max="13263" width="15.7109375" customWidth="1"/>
    <col min="13264" max="13265" width="6.42578125" customWidth="1"/>
    <col min="13266" max="13266" width="24.5703125" customWidth="1"/>
    <col min="13267" max="13267" width="34.7109375" customWidth="1"/>
    <col min="13268" max="13268" width="16.42578125" customWidth="1"/>
    <col min="13269" max="13269" width="16" bestFit="1" customWidth="1"/>
    <col min="13270" max="13270" width="29.140625" customWidth="1"/>
    <col min="13271" max="13271" width="15.7109375" customWidth="1"/>
    <col min="13272" max="13273" width="6.42578125" customWidth="1"/>
    <col min="13274" max="13274" width="24.5703125" customWidth="1"/>
    <col min="13275" max="13275" width="34.7109375" customWidth="1"/>
    <col min="13276" max="13276" width="16.42578125" customWidth="1"/>
    <col min="13277" max="13277" width="16" bestFit="1" customWidth="1"/>
    <col min="13278" max="13278" width="29.140625" customWidth="1"/>
    <col min="13279" max="13279" width="15.7109375" customWidth="1"/>
    <col min="13280" max="13281" width="6.42578125" customWidth="1"/>
    <col min="13282" max="13282" width="24.5703125" customWidth="1"/>
    <col min="13283" max="13283" width="34.7109375" customWidth="1"/>
    <col min="13284" max="13284" width="16.42578125" customWidth="1"/>
    <col min="13285" max="13285" width="16" bestFit="1" customWidth="1"/>
    <col min="13286" max="13286" width="29.140625" customWidth="1"/>
    <col min="13287" max="13287" width="15.7109375" customWidth="1"/>
    <col min="13288" max="13289" width="6.42578125" customWidth="1"/>
    <col min="13290" max="13290" width="24.5703125" customWidth="1"/>
    <col min="13291" max="13291" width="34.7109375" customWidth="1"/>
    <col min="13292" max="13292" width="16.42578125" customWidth="1"/>
    <col min="13293" max="13293" width="16" bestFit="1" customWidth="1"/>
    <col min="13294" max="13294" width="29.140625" customWidth="1"/>
    <col min="13295" max="13295" width="15.7109375" customWidth="1"/>
    <col min="13296" max="13297" width="6.42578125" customWidth="1"/>
    <col min="13298" max="13298" width="24.5703125" customWidth="1"/>
    <col min="13299" max="13299" width="34.7109375" customWidth="1"/>
    <col min="13300" max="13300" width="16.42578125" customWidth="1"/>
    <col min="13301" max="13301" width="16" bestFit="1" customWidth="1"/>
    <col min="13302" max="13302" width="29.140625" customWidth="1"/>
    <col min="13303" max="13303" width="15.7109375" customWidth="1"/>
    <col min="13304" max="13305" width="6.42578125" customWidth="1"/>
    <col min="13306" max="13306" width="24.5703125" customWidth="1"/>
    <col min="13307" max="13307" width="34.7109375" customWidth="1"/>
    <col min="13308" max="13308" width="16.42578125" customWidth="1"/>
    <col min="13309" max="13309" width="16" bestFit="1" customWidth="1"/>
    <col min="13310" max="13310" width="29.140625" customWidth="1"/>
    <col min="13311" max="13311" width="15.7109375" customWidth="1"/>
    <col min="13312" max="13313" width="6.42578125" customWidth="1"/>
    <col min="13314" max="13314" width="24.5703125" customWidth="1"/>
    <col min="13315" max="13315" width="34.7109375" customWidth="1"/>
    <col min="13316" max="13316" width="16.42578125" customWidth="1"/>
    <col min="13317" max="13317" width="16" bestFit="1" customWidth="1"/>
    <col min="13318" max="13318" width="29.140625" customWidth="1"/>
    <col min="13319" max="13319" width="15.7109375" customWidth="1"/>
    <col min="13320" max="13321" width="6.42578125" customWidth="1"/>
    <col min="13322" max="13322" width="24.5703125" customWidth="1"/>
    <col min="13323" max="13323" width="34.7109375" customWidth="1"/>
    <col min="13324" max="13324" width="16.42578125" customWidth="1"/>
    <col min="13325" max="13325" width="16" bestFit="1" customWidth="1"/>
    <col min="13326" max="13326" width="29.140625" customWidth="1"/>
    <col min="13327" max="13327" width="15.7109375" customWidth="1"/>
    <col min="13328" max="13329" width="6.42578125" customWidth="1"/>
    <col min="13330" max="13330" width="24.5703125" customWidth="1"/>
    <col min="13331" max="13331" width="34.7109375" customWidth="1"/>
    <col min="13332" max="13332" width="16.42578125" customWidth="1"/>
    <col min="13333" max="13333" width="16" bestFit="1" customWidth="1"/>
    <col min="13334" max="13334" width="29.140625" customWidth="1"/>
    <col min="13335" max="13335" width="15.7109375" customWidth="1"/>
    <col min="13336" max="13337" width="6.42578125" customWidth="1"/>
    <col min="13338" max="13338" width="24.5703125" customWidth="1"/>
    <col min="13339" max="13339" width="34.7109375" customWidth="1"/>
    <col min="13340" max="13340" width="16.42578125" customWidth="1"/>
    <col min="13341" max="13341" width="16" bestFit="1" customWidth="1"/>
    <col min="13342" max="13342" width="29.140625" customWidth="1"/>
    <col min="13343" max="13343" width="15.7109375" customWidth="1"/>
    <col min="13344" max="13345" width="6.42578125" customWidth="1"/>
    <col min="13346" max="13346" width="24.5703125" customWidth="1"/>
    <col min="13347" max="13347" width="34.7109375" customWidth="1"/>
    <col min="13348" max="13348" width="16.42578125" customWidth="1"/>
    <col min="13349" max="13349" width="16" bestFit="1" customWidth="1"/>
    <col min="13350" max="13350" width="29.140625" customWidth="1"/>
    <col min="13351" max="13351" width="15.7109375" customWidth="1"/>
    <col min="13352" max="13353" width="6.42578125" customWidth="1"/>
    <col min="13354" max="13354" width="24.5703125" customWidth="1"/>
    <col min="13355" max="13355" width="34.7109375" customWidth="1"/>
    <col min="13356" max="13356" width="16.42578125" customWidth="1"/>
    <col min="13357" max="13357" width="16" bestFit="1" customWidth="1"/>
    <col min="13358" max="13358" width="29.140625" customWidth="1"/>
    <col min="13359" max="13359" width="15.7109375" customWidth="1"/>
    <col min="13360" max="13361" width="6.42578125" customWidth="1"/>
    <col min="13362" max="13362" width="24.5703125" customWidth="1"/>
    <col min="13363" max="13363" width="34.7109375" customWidth="1"/>
    <col min="13364" max="13364" width="16.42578125" customWidth="1"/>
    <col min="13365" max="13365" width="16" bestFit="1" customWidth="1"/>
    <col min="13366" max="13366" width="29.140625" customWidth="1"/>
    <col min="13367" max="13367" width="15.7109375" customWidth="1"/>
    <col min="13368" max="13369" width="6.42578125" customWidth="1"/>
    <col min="13370" max="13370" width="24.5703125" customWidth="1"/>
    <col min="13371" max="13371" width="34.7109375" customWidth="1"/>
    <col min="13372" max="13372" width="16.42578125" customWidth="1"/>
    <col min="13373" max="13373" width="16" bestFit="1" customWidth="1"/>
    <col min="13374" max="13374" width="29.140625" customWidth="1"/>
    <col min="13375" max="13375" width="15.7109375" customWidth="1"/>
    <col min="13376" max="13377" width="6.42578125" customWidth="1"/>
    <col min="13378" max="13378" width="24.5703125" customWidth="1"/>
    <col min="13379" max="13379" width="34.7109375" customWidth="1"/>
    <col min="13380" max="13380" width="16.42578125" customWidth="1"/>
    <col min="13381" max="13381" width="16" bestFit="1" customWidth="1"/>
    <col min="13382" max="13382" width="29.140625" customWidth="1"/>
    <col min="13383" max="13383" width="15.7109375" customWidth="1"/>
    <col min="13384" max="13385" width="6.42578125" customWidth="1"/>
    <col min="13386" max="13386" width="24.5703125" customWidth="1"/>
    <col min="13387" max="13387" width="34.7109375" customWidth="1"/>
    <col min="13388" max="13388" width="16.42578125" customWidth="1"/>
    <col min="13389" max="13389" width="16" bestFit="1" customWidth="1"/>
    <col min="13390" max="13390" width="29.140625" customWidth="1"/>
    <col min="13391" max="13391" width="15.7109375" customWidth="1"/>
    <col min="13392" max="13393" width="6.42578125" customWidth="1"/>
    <col min="13394" max="13394" width="24.5703125" customWidth="1"/>
    <col min="13395" max="13395" width="34.7109375" customWidth="1"/>
    <col min="13396" max="13396" width="16.42578125" customWidth="1"/>
    <col min="13397" max="13397" width="16" bestFit="1" customWidth="1"/>
    <col min="13398" max="13398" width="29.140625" customWidth="1"/>
    <col min="13399" max="13399" width="15.7109375" customWidth="1"/>
    <col min="13400" max="13401" width="6.42578125" customWidth="1"/>
    <col min="13402" max="13402" width="24.5703125" customWidth="1"/>
    <col min="13403" max="13403" width="34.7109375" customWidth="1"/>
    <col min="13404" max="13404" width="16.42578125" customWidth="1"/>
    <col min="13405" max="13405" width="16" bestFit="1" customWidth="1"/>
    <col min="13406" max="13406" width="29.140625" customWidth="1"/>
    <col min="13407" max="13407" width="15.7109375" customWidth="1"/>
    <col min="13408" max="13409" width="6.42578125" customWidth="1"/>
    <col min="13410" max="13410" width="24.5703125" customWidth="1"/>
    <col min="13411" max="13411" width="34.7109375" customWidth="1"/>
    <col min="13412" max="13412" width="16.42578125" customWidth="1"/>
    <col min="13413" max="13413" width="16" bestFit="1" customWidth="1"/>
    <col min="13414" max="13414" width="29.140625" customWidth="1"/>
    <col min="13415" max="13415" width="15.7109375" customWidth="1"/>
    <col min="13416" max="13417" width="6.42578125" customWidth="1"/>
    <col min="13418" max="13418" width="24.5703125" customWidth="1"/>
    <col min="13419" max="13419" width="34.7109375" customWidth="1"/>
    <col min="13420" max="13420" width="16.42578125" customWidth="1"/>
    <col min="13421" max="13421" width="16" bestFit="1" customWidth="1"/>
    <col min="13422" max="13422" width="29.140625" customWidth="1"/>
    <col min="13423" max="13423" width="15.7109375" customWidth="1"/>
    <col min="13424" max="13425" width="6.42578125" customWidth="1"/>
    <col min="13426" max="13426" width="24.5703125" customWidth="1"/>
    <col min="13427" max="13427" width="34.7109375" customWidth="1"/>
    <col min="13428" max="13428" width="16.42578125" customWidth="1"/>
    <col min="13429" max="13429" width="16" bestFit="1" customWidth="1"/>
    <col min="13430" max="13430" width="29.140625" customWidth="1"/>
    <col min="13431" max="13431" width="15.7109375" customWidth="1"/>
    <col min="13432" max="13433" width="6.42578125" customWidth="1"/>
    <col min="13434" max="13434" width="24.5703125" customWidth="1"/>
    <col min="13435" max="13435" width="34.7109375" customWidth="1"/>
    <col min="13436" max="13436" width="16.42578125" customWidth="1"/>
    <col min="13437" max="13437" width="16" bestFit="1" customWidth="1"/>
    <col min="13438" max="13438" width="29.140625" customWidth="1"/>
    <col min="13439" max="13439" width="15.7109375" customWidth="1"/>
    <col min="13440" max="13441" width="6.42578125" customWidth="1"/>
    <col min="13442" max="13442" width="24.5703125" customWidth="1"/>
    <col min="13443" max="13443" width="34.7109375" customWidth="1"/>
    <col min="13444" max="13444" width="16.42578125" customWidth="1"/>
    <col min="13445" max="13445" width="16" bestFit="1" customWidth="1"/>
    <col min="13446" max="13446" width="29.140625" customWidth="1"/>
    <col min="13447" max="13447" width="15.7109375" customWidth="1"/>
    <col min="13448" max="13449" width="6.42578125" customWidth="1"/>
    <col min="13450" max="13450" width="24.5703125" customWidth="1"/>
    <col min="13451" max="13451" width="34.7109375" customWidth="1"/>
    <col min="13452" max="13452" width="16.42578125" customWidth="1"/>
    <col min="13453" max="13453" width="16" bestFit="1" customWidth="1"/>
    <col min="13454" max="13454" width="29.140625" customWidth="1"/>
    <col min="13455" max="13455" width="15.7109375" customWidth="1"/>
    <col min="13456" max="13457" width="6.42578125" customWidth="1"/>
    <col min="13458" max="13458" width="24.5703125" customWidth="1"/>
    <col min="13459" max="13459" width="34.7109375" customWidth="1"/>
    <col min="13460" max="13460" width="16.42578125" customWidth="1"/>
    <col min="13461" max="13461" width="16" bestFit="1" customWidth="1"/>
    <col min="13462" max="13462" width="29.140625" customWidth="1"/>
    <col min="13463" max="13463" width="15.7109375" customWidth="1"/>
    <col min="13464" max="13465" width="6.42578125" customWidth="1"/>
    <col min="13466" max="13466" width="24.5703125" customWidth="1"/>
    <col min="13467" max="13467" width="34.7109375" customWidth="1"/>
    <col min="13468" max="13468" width="16.42578125" customWidth="1"/>
    <col min="13469" max="13469" width="16" bestFit="1" customWidth="1"/>
    <col min="13470" max="13470" width="29.140625" customWidth="1"/>
    <col min="13471" max="13471" width="15.7109375" customWidth="1"/>
    <col min="13472" max="13473" width="6.42578125" customWidth="1"/>
    <col min="13474" max="13474" width="24.5703125" customWidth="1"/>
    <col min="13475" max="13475" width="34.7109375" customWidth="1"/>
    <col min="13476" max="13476" width="16.42578125" customWidth="1"/>
    <col min="13477" max="13477" width="16" bestFit="1" customWidth="1"/>
    <col min="13478" max="13478" width="29.140625" customWidth="1"/>
    <col min="13479" max="13479" width="15.7109375" customWidth="1"/>
    <col min="13480" max="13481" width="6.42578125" customWidth="1"/>
    <col min="13482" max="13482" width="24.5703125" customWidth="1"/>
    <col min="13483" max="13483" width="34.7109375" customWidth="1"/>
    <col min="13484" max="13484" width="16.42578125" customWidth="1"/>
    <col min="13485" max="13485" width="16" bestFit="1" customWidth="1"/>
    <col min="13486" max="13486" width="29.140625" customWidth="1"/>
    <col min="13487" max="13487" width="15.7109375" customWidth="1"/>
    <col min="13488" max="13489" width="6.42578125" customWidth="1"/>
    <col min="13490" max="13490" width="24.5703125" customWidth="1"/>
    <col min="13491" max="13491" width="34.7109375" customWidth="1"/>
    <col min="13492" max="13492" width="16.42578125" customWidth="1"/>
    <col min="13493" max="13493" width="16" bestFit="1" customWidth="1"/>
    <col min="13494" max="13494" width="29.140625" customWidth="1"/>
    <col min="13495" max="13495" width="15.7109375" customWidth="1"/>
    <col min="13496" max="13497" width="6.42578125" customWidth="1"/>
    <col min="13498" max="13498" width="24.5703125" customWidth="1"/>
    <col min="13499" max="13499" width="34.7109375" customWidth="1"/>
    <col min="13500" max="13500" width="16.42578125" customWidth="1"/>
    <col min="13501" max="13501" width="16" bestFit="1" customWidth="1"/>
    <col min="13502" max="13502" width="29.140625" customWidth="1"/>
    <col min="13503" max="13503" width="15.7109375" customWidth="1"/>
    <col min="13504" max="13505" width="6.42578125" customWidth="1"/>
    <col min="13506" max="13506" width="24.5703125" customWidth="1"/>
    <col min="13507" max="13507" width="34.7109375" customWidth="1"/>
    <col min="13508" max="13508" width="16.42578125" customWidth="1"/>
    <col min="13509" max="13509" width="16" bestFit="1" customWidth="1"/>
    <col min="13510" max="13510" width="29.140625" customWidth="1"/>
    <col min="13511" max="13511" width="15.7109375" customWidth="1"/>
    <col min="13512" max="13513" width="6.42578125" customWidth="1"/>
    <col min="13514" max="13514" width="24.5703125" customWidth="1"/>
    <col min="13515" max="13515" width="34.7109375" customWidth="1"/>
    <col min="13516" max="13516" width="16.42578125" customWidth="1"/>
    <col min="13517" max="13517" width="16" bestFit="1" customWidth="1"/>
    <col min="13518" max="13518" width="29.140625" customWidth="1"/>
    <col min="13519" max="13519" width="15.7109375" customWidth="1"/>
    <col min="13520" max="13521" width="6.42578125" customWidth="1"/>
    <col min="13522" max="13522" width="24.5703125" customWidth="1"/>
    <col min="13523" max="13523" width="34.7109375" customWidth="1"/>
    <col min="13524" max="13524" width="16.42578125" customWidth="1"/>
    <col min="13525" max="13525" width="16" bestFit="1" customWidth="1"/>
    <col min="13526" max="13526" width="29.140625" customWidth="1"/>
    <col min="13527" max="13527" width="15.7109375" customWidth="1"/>
    <col min="13528" max="13529" width="6.42578125" customWidth="1"/>
    <col min="13530" max="13530" width="24.5703125" customWidth="1"/>
    <col min="13531" max="13531" width="34.7109375" customWidth="1"/>
    <col min="13532" max="13532" width="16.42578125" customWidth="1"/>
    <col min="13533" max="13533" width="16" bestFit="1" customWidth="1"/>
    <col min="13534" max="13534" width="29.140625" customWidth="1"/>
    <col min="13535" max="13535" width="15.7109375" customWidth="1"/>
    <col min="13536" max="13537" width="6.42578125" customWidth="1"/>
    <col min="13538" max="13538" width="24.5703125" customWidth="1"/>
    <col min="13539" max="13539" width="34.7109375" customWidth="1"/>
    <col min="13540" max="13540" width="16.42578125" customWidth="1"/>
    <col min="13541" max="13541" width="16" bestFit="1" customWidth="1"/>
    <col min="13542" max="13542" width="29.140625" customWidth="1"/>
    <col min="13543" max="13543" width="15.7109375" customWidth="1"/>
    <col min="13544" max="13545" width="6.42578125" customWidth="1"/>
    <col min="13546" max="13546" width="24.5703125" customWidth="1"/>
    <col min="13547" max="13547" width="34.7109375" customWidth="1"/>
    <col min="13548" max="13548" width="16.42578125" customWidth="1"/>
    <col min="13549" max="13549" width="16" bestFit="1" customWidth="1"/>
    <col min="13550" max="13550" width="29.140625" customWidth="1"/>
    <col min="13551" max="13551" width="15.7109375" customWidth="1"/>
    <col min="13552" max="13553" width="6.42578125" customWidth="1"/>
    <col min="13554" max="13554" width="24.5703125" customWidth="1"/>
    <col min="13555" max="13555" width="34.7109375" customWidth="1"/>
    <col min="13556" max="13556" width="16.42578125" customWidth="1"/>
    <col min="13557" max="13557" width="16" bestFit="1" customWidth="1"/>
    <col min="13558" max="13558" width="29.140625" customWidth="1"/>
    <col min="13559" max="13559" width="15.7109375" customWidth="1"/>
    <col min="13560" max="13561" width="6.42578125" customWidth="1"/>
    <col min="13562" max="13562" width="24.5703125" customWidth="1"/>
    <col min="13563" max="13563" width="34.7109375" customWidth="1"/>
    <col min="13564" max="13564" width="16.42578125" customWidth="1"/>
    <col min="13565" max="13565" width="16" bestFit="1" customWidth="1"/>
    <col min="13566" max="13566" width="29.140625" customWidth="1"/>
    <col min="13567" max="13567" width="15.7109375" customWidth="1"/>
    <col min="13568" max="13569" width="6.42578125" customWidth="1"/>
    <col min="13570" max="13570" width="24.5703125" customWidth="1"/>
    <col min="13571" max="13571" width="34.7109375" customWidth="1"/>
    <col min="13572" max="13572" width="16.42578125" customWidth="1"/>
    <col min="13573" max="13573" width="16" bestFit="1" customWidth="1"/>
    <col min="13574" max="13574" width="29.140625" customWidth="1"/>
    <col min="13575" max="13575" width="15.7109375" customWidth="1"/>
    <col min="13576" max="13577" width="6.42578125" customWidth="1"/>
    <col min="13578" max="13578" width="24.5703125" customWidth="1"/>
    <col min="13579" max="13579" width="34.7109375" customWidth="1"/>
    <col min="13580" max="13580" width="16.42578125" customWidth="1"/>
    <col min="13581" max="13581" width="16" bestFit="1" customWidth="1"/>
    <col min="13582" max="13582" width="29.140625" customWidth="1"/>
    <col min="13583" max="13583" width="15.7109375" customWidth="1"/>
    <col min="13584" max="13585" width="6.42578125" customWidth="1"/>
    <col min="13586" max="13586" width="24.5703125" customWidth="1"/>
    <col min="13587" max="13587" width="34.7109375" customWidth="1"/>
    <col min="13588" max="13588" width="16.42578125" customWidth="1"/>
    <col min="13589" max="13589" width="16" bestFit="1" customWidth="1"/>
    <col min="13590" max="13590" width="29.140625" customWidth="1"/>
    <col min="13591" max="13591" width="15.7109375" customWidth="1"/>
    <col min="13592" max="13593" width="6.42578125" customWidth="1"/>
    <col min="13594" max="13594" width="24.5703125" customWidth="1"/>
    <col min="13595" max="13595" width="34.7109375" customWidth="1"/>
    <col min="13596" max="13596" width="16.42578125" customWidth="1"/>
    <col min="13597" max="13597" width="16" bestFit="1" customWidth="1"/>
    <col min="13598" max="13598" width="29.140625" customWidth="1"/>
    <col min="13599" max="13599" width="15.7109375" customWidth="1"/>
    <col min="13600" max="13601" width="6.42578125" customWidth="1"/>
    <col min="13602" max="13602" width="24.5703125" customWidth="1"/>
    <col min="13603" max="13603" width="34.7109375" customWidth="1"/>
    <col min="13604" max="13604" width="16.42578125" customWidth="1"/>
    <col min="13605" max="13605" width="16" bestFit="1" customWidth="1"/>
    <col min="13606" max="13606" width="29.140625" customWidth="1"/>
    <col min="13607" max="13607" width="15.7109375" customWidth="1"/>
    <col min="13608" max="13609" width="6.42578125" customWidth="1"/>
    <col min="13610" max="13610" width="24.5703125" customWidth="1"/>
    <col min="13611" max="13611" width="34.7109375" customWidth="1"/>
    <col min="13612" max="13612" width="16.42578125" customWidth="1"/>
    <col min="13613" max="13613" width="16" bestFit="1" customWidth="1"/>
    <col min="13614" max="13614" width="29.140625" customWidth="1"/>
    <col min="13615" max="13615" width="15.7109375" customWidth="1"/>
    <col min="13616" max="13617" width="6.42578125" customWidth="1"/>
    <col min="13618" max="13618" width="24.5703125" customWidth="1"/>
    <col min="13619" max="13619" width="34.7109375" customWidth="1"/>
    <col min="13620" max="13620" width="16.42578125" customWidth="1"/>
    <col min="13621" max="13621" width="16" bestFit="1" customWidth="1"/>
    <col min="13622" max="13622" width="29.140625" customWidth="1"/>
    <col min="13623" max="13623" width="15.7109375" customWidth="1"/>
    <col min="13624" max="13625" width="6.42578125" customWidth="1"/>
    <col min="13626" max="13626" width="24.5703125" customWidth="1"/>
    <col min="13627" max="13627" width="34.7109375" customWidth="1"/>
    <col min="13628" max="13628" width="16.42578125" customWidth="1"/>
    <col min="13629" max="13629" width="16" bestFit="1" customWidth="1"/>
    <col min="13630" max="13630" width="29.140625" customWidth="1"/>
    <col min="13631" max="13631" width="15.7109375" customWidth="1"/>
    <col min="13632" max="13633" width="6.42578125" customWidth="1"/>
    <col min="13634" max="13634" width="24.5703125" customWidth="1"/>
    <col min="13635" max="13635" width="34.7109375" customWidth="1"/>
    <col min="13636" max="13636" width="16.42578125" customWidth="1"/>
    <col min="13637" max="13637" width="16" bestFit="1" customWidth="1"/>
    <col min="13638" max="13638" width="29.140625" customWidth="1"/>
    <col min="13639" max="13639" width="15.7109375" customWidth="1"/>
    <col min="13640" max="13641" width="6.42578125" customWidth="1"/>
    <col min="13642" max="13642" width="24.5703125" customWidth="1"/>
    <col min="13643" max="13643" width="34.7109375" customWidth="1"/>
    <col min="13644" max="13644" width="16.42578125" customWidth="1"/>
    <col min="13645" max="13645" width="16" bestFit="1" customWidth="1"/>
    <col min="13646" max="13646" width="29.140625" customWidth="1"/>
    <col min="13647" max="13647" width="15.7109375" customWidth="1"/>
    <col min="13648" max="13649" width="6.42578125" customWidth="1"/>
    <col min="13650" max="13650" width="24.5703125" customWidth="1"/>
    <col min="13651" max="13651" width="34.7109375" customWidth="1"/>
    <col min="13652" max="13652" width="16.42578125" customWidth="1"/>
    <col min="13653" max="13653" width="16" bestFit="1" customWidth="1"/>
    <col min="13654" max="13654" width="29.140625" customWidth="1"/>
    <col min="13655" max="13655" width="15.7109375" customWidth="1"/>
    <col min="13656" max="13657" width="6.42578125" customWidth="1"/>
    <col min="13658" max="13658" width="24.5703125" customWidth="1"/>
    <col min="13659" max="13659" width="34.7109375" customWidth="1"/>
    <col min="13660" max="13660" width="16.42578125" customWidth="1"/>
    <col min="13661" max="13661" width="16" bestFit="1" customWidth="1"/>
    <col min="13662" max="13662" width="29.140625" customWidth="1"/>
    <col min="13663" max="13663" width="15.7109375" customWidth="1"/>
    <col min="13664" max="13665" width="6.42578125" customWidth="1"/>
    <col min="13666" max="13666" width="24.5703125" customWidth="1"/>
    <col min="13667" max="13667" width="34.7109375" customWidth="1"/>
    <col min="13668" max="13668" width="16.42578125" customWidth="1"/>
    <col min="13669" max="13669" width="16" bestFit="1" customWidth="1"/>
    <col min="13670" max="13670" width="29.140625" customWidth="1"/>
    <col min="13671" max="13671" width="15.7109375" customWidth="1"/>
    <col min="13672" max="13673" width="6.42578125" customWidth="1"/>
    <col min="13674" max="13674" width="24.5703125" customWidth="1"/>
    <col min="13675" max="13675" width="34.7109375" customWidth="1"/>
    <col min="13676" max="13676" width="16.42578125" customWidth="1"/>
    <col min="13677" max="13677" width="16" bestFit="1" customWidth="1"/>
    <col min="13678" max="13678" width="29.140625" customWidth="1"/>
    <col min="13679" max="13679" width="15.7109375" customWidth="1"/>
    <col min="13680" max="13681" width="6.42578125" customWidth="1"/>
    <col min="13682" max="13682" width="24.5703125" customWidth="1"/>
    <col min="13683" max="13683" width="34.7109375" customWidth="1"/>
    <col min="13684" max="13684" width="16.42578125" customWidth="1"/>
    <col min="13685" max="13685" width="16" bestFit="1" customWidth="1"/>
    <col min="13686" max="13686" width="29.140625" customWidth="1"/>
    <col min="13687" max="13687" width="15.7109375" customWidth="1"/>
    <col min="13688" max="13689" width="6.42578125" customWidth="1"/>
    <col min="13690" max="13690" width="24.5703125" customWidth="1"/>
    <col min="13691" max="13691" width="34.7109375" customWidth="1"/>
    <col min="13692" max="13692" width="16.42578125" customWidth="1"/>
    <col min="13693" max="13693" width="16" bestFit="1" customWidth="1"/>
    <col min="13694" max="13694" width="29.140625" customWidth="1"/>
    <col min="13695" max="13695" width="15.7109375" customWidth="1"/>
    <col min="13696" max="13697" width="6.42578125" customWidth="1"/>
    <col min="13698" max="13698" width="24.5703125" customWidth="1"/>
    <col min="13699" max="13699" width="34.7109375" customWidth="1"/>
    <col min="13700" max="13700" width="16.42578125" customWidth="1"/>
    <col min="13701" max="13701" width="16" bestFit="1" customWidth="1"/>
    <col min="13702" max="13702" width="29.140625" customWidth="1"/>
    <col min="13703" max="13703" width="15.7109375" customWidth="1"/>
    <col min="13704" max="13705" width="6.42578125" customWidth="1"/>
    <col min="13706" max="13706" width="24.5703125" customWidth="1"/>
    <col min="13707" max="13707" width="34.7109375" customWidth="1"/>
    <col min="13708" max="13708" width="16.42578125" customWidth="1"/>
    <col min="13709" max="13709" width="16" bestFit="1" customWidth="1"/>
    <col min="13710" max="13710" width="29.140625" customWidth="1"/>
    <col min="13711" max="13711" width="15.7109375" customWidth="1"/>
    <col min="13712" max="13713" width="6.42578125" customWidth="1"/>
    <col min="13714" max="13714" width="24.5703125" customWidth="1"/>
    <col min="13715" max="13715" width="34.7109375" customWidth="1"/>
    <col min="13716" max="13716" width="16.42578125" customWidth="1"/>
    <col min="13717" max="13717" width="16" bestFit="1" customWidth="1"/>
    <col min="13718" max="13718" width="29.140625" customWidth="1"/>
    <col min="13719" max="13719" width="15.7109375" customWidth="1"/>
    <col min="13720" max="13721" width="6.42578125" customWidth="1"/>
    <col min="13722" max="13722" width="24.5703125" customWidth="1"/>
    <col min="13723" max="13723" width="34.7109375" customWidth="1"/>
    <col min="13724" max="13724" width="16.42578125" customWidth="1"/>
    <col min="13725" max="13725" width="16" bestFit="1" customWidth="1"/>
    <col min="13726" max="13726" width="29.140625" customWidth="1"/>
    <col min="13727" max="13727" width="15.7109375" customWidth="1"/>
    <col min="13728" max="13729" width="6.42578125" customWidth="1"/>
    <col min="13730" max="13730" width="24.5703125" customWidth="1"/>
    <col min="13731" max="13731" width="34.7109375" customWidth="1"/>
    <col min="13732" max="13732" width="16.42578125" customWidth="1"/>
    <col min="13733" max="13733" width="16" bestFit="1" customWidth="1"/>
    <col min="13734" max="13734" width="29.140625" customWidth="1"/>
    <col min="13735" max="13735" width="15.7109375" customWidth="1"/>
    <col min="13736" max="13737" width="6.42578125" customWidth="1"/>
    <col min="13738" max="13738" width="24.5703125" customWidth="1"/>
    <col min="13739" max="13739" width="34.7109375" customWidth="1"/>
    <col min="13740" max="13740" width="16.42578125" customWidth="1"/>
    <col min="13741" max="13741" width="16" bestFit="1" customWidth="1"/>
    <col min="13742" max="13742" width="29.140625" customWidth="1"/>
    <col min="13743" max="13743" width="15.7109375" customWidth="1"/>
    <col min="13744" max="13745" width="6.42578125" customWidth="1"/>
    <col min="13746" max="13746" width="24.5703125" customWidth="1"/>
    <col min="13747" max="13747" width="34.7109375" customWidth="1"/>
    <col min="13748" max="13748" width="16.42578125" customWidth="1"/>
    <col min="13749" max="13749" width="16" bestFit="1" customWidth="1"/>
    <col min="13750" max="13750" width="29.140625" customWidth="1"/>
    <col min="13751" max="13751" width="15.7109375" customWidth="1"/>
    <col min="13752" max="13753" width="6.42578125" customWidth="1"/>
    <col min="13754" max="13754" width="24.5703125" customWidth="1"/>
    <col min="13755" max="13755" width="34.7109375" customWidth="1"/>
    <col min="13756" max="13756" width="16.42578125" customWidth="1"/>
    <col min="13757" max="13757" width="16" bestFit="1" customWidth="1"/>
    <col min="13758" max="13758" width="29.140625" customWidth="1"/>
    <col min="13759" max="13759" width="15.7109375" customWidth="1"/>
    <col min="13760" max="13761" width="6.42578125" customWidth="1"/>
    <col min="13762" max="13762" width="24.5703125" customWidth="1"/>
    <col min="13763" max="13763" width="34.7109375" customWidth="1"/>
    <col min="13764" max="13764" width="16.42578125" customWidth="1"/>
    <col min="13765" max="13765" width="16" bestFit="1" customWidth="1"/>
    <col min="13766" max="13766" width="29.140625" customWidth="1"/>
    <col min="13767" max="13767" width="15.7109375" customWidth="1"/>
    <col min="13768" max="13769" width="6.42578125" customWidth="1"/>
    <col min="13770" max="13770" width="24.5703125" customWidth="1"/>
    <col min="13771" max="13771" width="34.7109375" customWidth="1"/>
    <col min="13772" max="13772" width="16.42578125" customWidth="1"/>
    <col min="13773" max="13773" width="16" bestFit="1" customWidth="1"/>
    <col min="13774" max="13774" width="29.140625" customWidth="1"/>
    <col min="13775" max="13775" width="15.7109375" customWidth="1"/>
    <col min="13776" max="13777" width="6.42578125" customWidth="1"/>
    <col min="13778" max="13778" width="24.5703125" customWidth="1"/>
    <col min="13779" max="13779" width="34.7109375" customWidth="1"/>
    <col min="13780" max="13780" width="16.42578125" customWidth="1"/>
    <col min="13781" max="13781" width="16" bestFit="1" customWidth="1"/>
    <col min="13782" max="13782" width="29.140625" customWidth="1"/>
    <col min="13783" max="13783" width="15.7109375" customWidth="1"/>
    <col min="13784" max="13785" width="6.42578125" customWidth="1"/>
    <col min="13786" max="13786" width="24.5703125" customWidth="1"/>
    <col min="13787" max="13787" width="34.7109375" customWidth="1"/>
    <col min="13788" max="13788" width="16.42578125" customWidth="1"/>
    <col min="13789" max="13789" width="16" bestFit="1" customWidth="1"/>
    <col min="13790" max="13790" width="29.140625" customWidth="1"/>
    <col min="13791" max="13791" width="15.7109375" customWidth="1"/>
    <col min="13792" max="13793" width="6.42578125" customWidth="1"/>
    <col min="13794" max="13794" width="24.5703125" customWidth="1"/>
    <col min="13795" max="13795" width="34.7109375" customWidth="1"/>
    <col min="13796" max="13796" width="16.42578125" customWidth="1"/>
    <col min="13797" max="13797" width="16" bestFit="1" customWidth="1"/>
    <col min="13798" max="13798" width="29.140625" customWidth="1"/>
    <col min="13799" max="13799" width="15.7109375" customWidth="1"/>
    <col min="13800" max="13801" width="6.42578125" customWidth="1"/>
    <col min="13802" max="13802" width="24.5703125" customWidth="1"/>
    <col min="13803" max="13803" width="34.7109375" customWidth="1"/>
    <col min="13804" max="13804" width="16.42578125" customWidth="1"/>
    <col min="13805" max="13805" width="16" bestFit="1" customWidth="1"/>
    <col min="13806" max="13806" width="29.140625" customWidth="1"/>
    <col min="13807" max="13807" width="15.7109375" customWidth="1"/>
    <col min="13808" max="13809" width="6.42578125" customWidth="1"/>
    <col min="13810" max="13810" width="24.5703125" customWidth="1"/>
    <col min="13811" max="13811" width="34.7109375" customWidth="1"/>
    <col min="13812" max="13812" width="16.42578125" customWidth="1"/>
    <col min="13813" max="13813" width="16" bestFit="1" customWidth="1"/>
    <col min="13814" max="13814" width="29.140625" customWidth="1"/>
    <col min="13815" max="13815" width="15.7109375" customWidth="1"/>
    <col min="13816" max="13817" width="6.42578125" customWidth="1"/>
    <col min="13818" max="13818" width="24.5703125" customWidth="1"/>
    <col min="13819" max="13819" width="34.7109375" customWidth="1"/>
    <col min="13820" max="13820" width="16.42578125" customWidth="1"/>
    <col min="13821" max="13821" width="16" bestFit="1" customWidth="1"/>
    <col min="13822" max="13822" width="29.140625" customWidth="1"/>
    <col min="13823" max="13823" width="15.7109375" customWidth="1"/>
    <col min="13824" max="13825" width="6.42578125" customWidth="1"/>
    <col min="13826" max="13826" width="24.5703125" customWidth="1"/>
    <col min="13827" max="13827" width="34.7109375" customWidth="1"/>
    <col min="13828" max="13828" width="16.42578125" customWidth="1"/>
    <col min="13829" max="13829" width="16" bestFit="1" customWidth="1"/>
    <col min="13830" max="13830" width="29.140625" customWidth="1"/>
    <col min="13831" max="13831" width="15.7109375" customWidth="1"/>
    <col min="13832" max="13833" width="6.42578125" customWidth="1"/>
    <col min="13834" max="13834" width="24.5703125" customWidth="1"/>
    <col min="13835" max="13835" width="34.7109375" customWidth="1"/>
    <col min="13836" max="13836" width="16.42578125" customWidth="1"/>
    <col min="13837" max="13837" width="16" bestFit="1" customWidth="1"/>
    <col min="13838" max="13838" width="29.140625" customWidth="1"/>
    <col min="13839" max="13839" width="15.7109375" customWidth="1"/>
    <col min="13840" max="13841" width="6.42578125" customWidth="1"/>
    <col min="13842" max="13842" width="24.5703125" customWidth="1"/>
    <col min="13843" max="13843" width="34.7109375" customWidth="1"/>
    <col min="13844" max="13844" width="16.42578125" customWidth="1"/>
    <col min="13845" max="13845" width="16" bestFit="1" customWidth="1"/>
    <col min="13846" max="13846" width="29.140625" customWidth="1"/>
    <col min="13847" max="13847" width="15.7109375" customWidth="1"/>
    <col min="13848" max="13849" width="6.42578125" customWidth="1"/>
    <col min="13850" max="13850" width="24.5703125" customWidth="1"/>
    <col min="13851" max="13851" width="34.7109375" customWidth="1"/>
    <col min="13852" max="13852" width="16.42578125" customWidth="1"/>
    <col min="13853" max="13853" width="16" bestFit="1" customWidth="1"/>
    <col min="13854" max="13854" width="29.140625" customWidth="1"/>
    <col min="13855" max="13855" width="15.7109375" customWidth="1"/>
    <col min="13856" max="13857" width="6.42578125" customWidth="1"/>
    <col min="13858" max="13858" width="24.5703125" customWidth="1"/>
    <col min="13859" max="13859" width="34.7109375" customWidth="1"/>
    <col min="13860" max="13860" width="16.42578125" customWidth="1"/>
    <col min="13861" max="13861" width="16" bestFit="1" customWidth="1"/>
    <col min="13862" max="13862" width="29.140625" customWidth="1"/>
    <col min="13863" max="13863" width="15.7109375" customWidth="1"/>
    <col min="13864" max="13865" width="6.42578125" customWidth="1"/>
    <col min="13866" max="13866" width="24.5703125" customWidth="1"/>
    <col min="13867" max="13867" width="34.7109375" customWidth="1"/>
    <col min="13868" max="13868" width="16.42578125" customWidth="1"/>
    <col min="13869" max="13869" width="16" bestFit="1" customWidth="1"/>
    <col min="13870" max="13870" width="29.140625" customWidth="1"/>
    <col min="13871" max="13871" width="15.7109375" customWidth="1"/>
    <col min="13872" max="13873" width="6.42578125" customWidth="1"/>
    <col min="13874" max="13874" width="24.5703125" customWidth="1"/>
    <col min="13875" max="13875" width="34.7109375" customWidth="1"/>
    <col min="13876" max="13876" width="16.42578125" customWidth="1"/>
    <col min="13877" max="13877" width="16" bestFit="1" customWidth="1"/>
    <col min="13878" max="13878" width="29.140625" customWidth="1"/>
    <col min="13879" max="13879" width="15.7109375" customWidth="1"/>
    <col min="13880" max="13881" width="6.42578125" customWidth="1"/>
    <col min="13882" max="13882" width="24.5703125" customWidth="1"/>
    <col min="13883" max="13883" width="34.7109375" customWidth="1"/>
    <col min="13884" max="13884" width="16.42578125" customWidth="1"/>
    <col min="13885" max="13885" width="16" bestFit="1" customWidth="1"/>
    <col min="13886" max="13886" width="29.140625" customWidth="1"/>
    <col min="13887" max="13887" width="15.7109375" customWidth="1"/>
    <col min="13888" max="13889" width="6.42578125" customWidth="1"/>
    <col min="13890" max="13890" width="24.5703125" customWidth="1"/>
    <col min="13891" max="13891" width="34.7109375" customWidth="1"/>
    <col min="13892" max="13892" width="16.42578125" customWidth="1"/>
    <col min="13893" max="13893" width="16" bestFit="1" customWidth="1"/>
    <col min="13894" max="13894" width="29.140625" customWidth="1"/>
    <col min="13895" max="13895" width="15.7109375" customWidth="1"/>
    <col min="13896" max="13897" width="6.42578125" customWidth="1"/>
    <col min="13898" max="13898" width="24.5703125" customWidth="1"/>
    <col min="13899" max="13899" width="34.7109375" customWidth="1"/>
    <col min="13900" max="13900" width="16.42578125" customWidth="1"/>
    <col min="13901" max="13901" width="16" bestFit="1" customWidth="1"/>
    <col min="13902" max="13902" width="29.140625" customWidth="1"/>
    <col min="13903" max="13903" width="15.7109375" customWidth="1"/>
    <col min="13904" max="13905" width="6.42578125" customWidth="1"/>
    <col min="13906" max="13906" width="24.5703125" customWidth="1"/>
    <col min="13907" max="13907" width="34.7109375" customWidth="1"/>
    <col min="13908" max="13908" width="16.42578125" customWidth="1"/>
    <col min="13909" max="13909" width="16" bestFit="1" customWidth="1"/>
    <col min="13910" max="13910" width="29.140625" customWidth="1"/>
    <col min="13911" max="13911" width="15.7109375" customWidth="1"/>
    <col min="13912" max="13913" width="6.42578125" customWidth="1"/>
    <col min="13914" max="13914" width="24.5703125" customWidth="1"/>
    <col min="13915" max="13915" width="34.7109375" customWidth="1"/>
    <col min="13916" max="13916" width="16.42578125" customWidth="1"/>
    <col min="13917" max="13917" width="16" bestFit="1" customWidth="1"/>
    <col min="13918" max="13918" width="29.140625" customWidth="1"/>
    <col min="13919" max="13919" width="15.7109375" customWidth="1"/>
    <col min="13920" max="13921" width="6.42578125" customWidth="1"/>
    <col min="13922" max="13922" width="24.5703125" customWidth="1"/>
    <col min="13923" max="13923" width="34.7109375" customWidth="1"/>
    <col min="13924" max="13924" width="16.42578125" customWidth="1"/>
    <col min="13925" max="13925" width="16" bestFit="1" customWidth="1"/>
    <col min="13926" max="13926" width="29.140625" customWidth="1"/>
    <col min="13927" max="13927" width="15.7109375" customWidth="1"/>
    <col min="13928" max="13929" width="6.42578125" customWidth="1"/>
    <col min="13930" max="13930" width="24.5703125" customWidth="1"/>
    <col min="13931" max="13931" width="34.7109375" customWidth="1"/>
    <col min="13932" max="13932" width="16.42578125" customWidth="1"/>
    <col min="13933" max="13933" width="16" bestFit="1" customWidth="1"/>
    <col min="13934" max="13934" width="29.140625" customWidth="1"/>
    <col min="13935" max="13935" width="15.7109375" customWidth="1"/>
    <col min="13936" max="13937" width="6.42578125" customWidth="1"/>
    <col min="13938" max="13938" width="24.5703125" customWidth="1"/>
    <col min="13939" max="13939" width="34.7109375" customWidth="1"/>
    <col min="13940" max="13940" width="16.42578125" customWidth="1"/>
    <col min="13941" max="13941" width="16" bestFit="1" customWidth="1"/>
    <col min="13942" max="13942" width="29.140625" customWidth="1"/>
    <col min="13943" max="13943" width="15.7109375" customWidth="1"/>
    <col min="13944" max="13945" width="6.42578125" customWidth="1"/>
    <col min="13946" max="13946" width="24.5703125" customWidth="1"/>
    <col min="13947" max="13947" width="34.7109375" customWidth="1"/>
    <col min="13948" max="13948" width="16.42578125" customWidth="1"/>
    <col min="13949" max="13949" width="16" bestFit="1" customWidth="1"/>
    <col min="13950" max="13950" width="29.140625" customWidth="1"/>
    <col min="13951" max="13951" width="15.7109375" customWidth="1"/>
    <col min="13952" max="13953" width="6.42578125" customWidth="1"/>
    <col min="13954" max="13954" width="24.5703125" customWidth="1"/>
    <col min="13955" max="13955" width="34.7109375" customWidth="1"/>
    <col min="13956" max="13956" width="16.42578125" customWidth="1"/>
    <col min="13957" max="13957" width="16" bestFit="1" customWidth="1"/>
    <col min="13958" max="13958" width="29.140625" customWidth="1"/>
    <col min="13959" max="13959" width="15.7109375" customWidth="1"/>
    <col min="13960" max="13961" width="6.42578125" customWidth="1"/>
    <col min="13962" max="13962" width="24.5703125" customWidth="1"/>
    <col min="13963" max="13963" width="34.7109375" customWidth="1"/>
    <col min="13964" max="13964" width="16.42578125" customWidth="1"/>
    <col min="13965" max="13965" width="16" bestFit="1" customWidth="1"/>
    <col min="13966" max="13966" width="29.140625" customWidth="1"/>
    <col min="13967" max="13967" width="15.7109375" customWidth="1"/>
    <col min="13968" max="13969" width="6.42578125" customWidth="1"/>
    <col min="13970" max="13970" width="24.5703125" customWidth="1"/>
    <col min="13971" max="13971" width="34.7109375" customWidth="1"/>
    <col min="13972" max="13972" width="16.42578125" customWidth="1"/>
    <col min="13973" max="13973" width="16" bestFit="1" customWidth="1"/>
    <col min="13974" max="13974" width="29.140625" customWidth="1"/>
    <col min="13975" max="13975" width="15.7109375" customWidth="1"/>
    <col min="13976" max="13977" width="6.42578125" customWidth="1"/>
    <col min="13978" max="13978" width="24.5703125" customWidth="1"/>
    <col min="13979" max="13979" width="34.7109375" customWidth="1"/>
    <col min="13980" max="13980" width="16.42578125" customWidth="1"/>
    <col min="13981" max="13981" width="16" bestFit="1" customWidth="1"/>
    <col min="13982" max="13982" width="29.140625" customWidth="1"/>
    <col min="13983" max="13983" width="15.7109375" customWidth="1"/>
    <col min="13984" max="13985" width="6.42578125" customWidth="1"/>
    <col min="13986" max="13986" width="24.5703125" customWidth="1"/>
    <col min="13987" max="13987" width="34.7109375" customWidth="1"/>
    <col min="13988" max="13988" width="16.42578125" customWidth="1"/>
    <col min="13989" max="13989" width="16" bestFit="1" customWidth="1"/>
    <col min="13990" max="13990" width="29.140625" customWidth="1"/>
    <col min="13991" max="13991" width="15.7109375" customWidth="1"/>
    <col min="13992" max="13993" width="6.42578125" customWidth="1"/>
    <col min="13994" max="13994" width="24.5703125" customWidth="1"/>
    <col min="13995" max="13995" width="34.7109375" customWidth="1"/>
    <col min="13996" max="13996" width="16.42578125" customWidth="1"/>
    <col min="13997" max="13997" width="16" bestFit="1" customWidth="1"/>
    <col min="13998" max="13998" width="29.140625" customWidth="1"/>
    <col min="13999" max="13999" width="15.7109375" customWidth="1"/>
    <col min="14000" max="14001" width="6.42578125" customWidth="1"/>
    <col min="14002" max="14002" width="24.5703125" customWidth="1"/>
    <col min="14003" max="14003" width="34.7109375" customWidth="1"/>
    <col min="14004" max="14004" width="16.42578125" customWidth="1"/>
    <col min="14005" max="14005" width="16" bestFit="1" customWidth="1"/>
    <col min="14006" max="14006" width="29.140625" customWidth="1"/>
    <col min="14007" max="14007" width="15.7109375" customWidth="1"/>
    <col min="14008" max="14009" width="6.42578125" customWidth="1"/>
    <col min="14010" max="14010" width="24.5703125" customWidth="1"/>
    <col min="14011" max="14011" width="34.7109375" customWidth="1"/>
    <col min="14012" max="14012" width="16.42578125" customWidth="1"/>
    <col min="14013" max="14013" width="16" bestFit="1" customWidth="1"/>
    <col min="14014" max="14014" width="29.140625" customWidth="1"/>
    <col min="14015" max="14015" width="15.7109375" customWidth="1"/>
    <col min="14016" max="14017" width="6.42578125" customWidth="1"/>
    <col min="14018" max="14018" width="24.5703125" customWidth="1"/>
    <col min="14019" max="14019" width="34.7109375" customWidth="1"/>
    <col min="14020" max="14020" width="16.42578125" customWidth="1"/>
    <col min="14021" max="14021" width="16" bestFit="1" customWidth="1"/>
    <col min="14022" max="14022" width="29.140625" customWidth="1"/>
    <col min="14023" max="14023" width="15.7109375" customWidth="1"/>
    <col min="14024" max="14025" width="6.42578125" customWidth="1"/>
    <col min="14026" max="14026" width="24.5703125" customWidth="1"/>
    <col min="14027" max="14027" width="34.7109375" customWidth="1"/>
    <col min="14028" max="14028" width="16.42578125" customWidth="1"/>
    <col min="14029" max="14029" width="16" bestFit="1" customWidth="1"/>
    <col min="14030" max="14030" width="29.140625" customWidth="1"/>
    <col min="14031" max="14031" width="15.7109375" customWidth="1"/>
    <col min="14032" max="14033" width="6.42578125" customWidth="1"/>
    <col min="14034" max="14034" width="24.5703125" customWidth="1"/>
    <col min="14035" max="14035" width="34.7109375" customWidth="1"/>
    <col min="14036" max="14036" width="16.42578125" customWidth="1"/>
    <col min="14037" max="14037" width="16" bestFit="1" customWidth="1"/>
    <col min="14038" max="14038" width="29.140625" customWidth="1"/>
    <col min="14039" max="14039" width="15.7109375" customWidth="1"/>
    <col min="14040" max="14041" width="6.42578125" customWidth="1"/>
    <col min="14042" max="14042" width="24.5703125" customWidth="1"/>
    <col min="14043" max="14043" width="34.7109375" customWidth="1"/>
    <col min="14044" max="14044" width="16.42578125" customWidth="1"/>
    <col min="14045" max="14045" width="16" bestFit="1" customWidth="1"/>
    <col min="14046" max="14046" width="29.140625" customWidth="1"/>
    <col min="14047" max="14047" width="15.7109375" customWidth="1"/>
    <col min="14048" max="14049" width="6.42578125" customWidth="1"/>
    <col min="14050" max="14050" width="24.5703125" customWidth="1"/>
    <col min="14051" max="14051" width="34.7109375" customWidth="1"/>
    <col min="14052" max="14052" width="16.42578125" customWidth="1"/>
    <col min="14053" max="14053" width="16" bestFit="1" customWidth="1"/>
    <col min="14054" max="14054" width="29.140625" customWidth="1"/>
    <col min="14055" max="14055" width="15.7109375" customWidth="1"/>
    <col min="14056" max="14057" width="6.42578125" customWidth="1"/>
    <col min="14058" max="14058" width="24.5703125" customWidth="1"/>
    <col min="14059" max="14059" width="34.7109375" customWidth="1"/>
    <col min="14060" max="14060" width="16.42578125" customWidth="1"/>
    <col min="14061" max="14061" width="16" bestFit="1" customWidth="1"/>
    <col min="14062" max="14062" width="29.140625" customWidth="1"/>
    <col min="14063" max="14063" width="15.7109375" customWidth="1"/>
    <col min="14064" max="14065" width="6.42578125" customWidth="1"/>
    <col min="14066" max="14066" width="24.5703125" customWidth="1"/>
    <col min="14067" max="14067" width="34.7109375" customWidth="1"/>
    <col min="14068" max="14068" width="16.42578125" customWidth="1"/>
    <col min="14069" max="14069" width="16" bestFit="1" customWidth="1"/>
    <col min="14070" max="14070" width="29.140625" customWidth="1"/>
    <col min="14071" max="14071" width="15.7109375" customWidth="1"/>
    <col min="14072" max="14073" width="6.42578125" customWidth="1"/>
    <col min="14074" max="14074" width="24.5703125" customWidth="1"/>
    <col min="14075" max="14075" width="34.7109375" customWidth="1"/>
    <col min="14076" max="14076" width="16.42578125" customWidth="1"/>
    <col min="14077" max="14077" width="16" bestFit="1" customWidth="1"/>
    <col min="14078" max="14078" width="29.140625" customWidth="1"/>
    <col min="14079" max="14079" width="15.7109375" customWidth="1"/>
    <col min="14080" max="14081" width="6.42578125" customWidth="1"/>
    <col min="14082" max="14082" width="24.5703125" customWidth="1"/>
    <col min="14083" max="14083" width="34.7109375" customWidth="1"/>
    <col min="14084" max="14084" width="16.42578125" customWidth="1"/>
    <col min="14085" max="14085" width="16" bestFit="1" customWidth="1"/>
    <col min="14086" max="14086" width="29.140625" customWidth="1"/>
    <col min="14087" max="14087" width="15.7109375" customWidth="1"/>
    <col min="14088" max="14089" width="6.42578125" customWidth="1"/>
    <col min="14090" max="14090" width="24.5703125" customWidth="1"/>
    <col min="14091" max="14091" width="34.7109375" customWidth="1"/>
    <col min="14092" max="14092" width="16.42578125" customWidth="1"/>
    <col min="14093" max="14093" width="16" bestFit="1" customWidth="1"/>
    <col min="14094" max="14094" width="29.140625" customWidth="1"/>
    <col min="14095" max="14095" width="15.7109375" customWidth="1"/>
    <col min="14096" max="14097" width="6.42578125" customWidth="1"/>
    <col min="14098" max="14098" width="24.5703125" customWidth="1"/>
    <col min="14099" max="14099" width="34.7109375" customWidth="1"/>
    <col min="14100" max="14100" width="16.42578125" customWidth="1"/>
    <col min="14101" max="14101" width="16" bestFit="1" customWidth="1"/>
    <col min="14102" max="14102" width="29.140625" customWidth="1"/>
    <col min="14103" max="14103" width="15.7109375" customWidth="1"/>
    <col min="14104" max="14105" width="6.42578125" customWidth="1"/>
    <col min="14106" max="14106" width="24.5703125" customWidth="1"/>
    <col min="14107" max="14107" width="34.7109375" customWidth="1"/>
    <col min="14108" max="14108" width="16.42578125" customWidth="1"/>
    <col min="14109" max="14109" width="16" bestFit="1" customWidth="1"/>
    <col min="14110" max="14110" width="29.140625" customWidth="1"/>
    <col min="14111" max="14111" width="15.7109375" customWidth="1"/>
    <col min="14112" max="14113" width="6.42578125" customWidth="1"/>
    <col min="14114" max="14114" width="24.5703125" customWidth="1"/>
    <col min="14115" max="14115" width="34.7109375" customWidth="1"/>
    <col min="14116" max="14116" width="16.42578125" customWidth="1"/>
    <col min="14117" max="14117" width="16" bestFit="1" customWidth="1"/>
    <col min="14118" max="14118" width="29.140625" customWidth="1"/>
    <col min="14119" max="14119" width="15.7109375" customWidth="1"/>
    <col min="14120" max="14121" width="6.42578125" customWidth="1"/>
    <col min="14122" max="14122" width="24.5703125" customWidth="1"/>
    <col min="14123" max="14123" width="34.7109375" customWidth="1"/>
    <col min="14124" max="14124" width="16.42578125" customWidth="1"/>
    <col min="14125" max="14125" width="16" bestFit="1" customWidth="1"/>
    <col min="14126" max="14126" width="29.140625" customWidth="1"/>
    <col min="14127" max="14127" width="15.7109375" customWidth="1"/>
    <col min="14128" max="14129" width="6.42578125" customWidth="1"/>
    <col min="14130" max="14130" width="24.5703125" customWidth="1"/>
    <col min="14131" max="14131" width="34.7109375" customWidth="1"/>
    <col min="14132" max="14132" width="16.42578125" customWidth="1"/>
    <col min="14133" max="14133" width="16" bestFit="1" customWidth="1"/>
    <col min="14134" max="14134" width="29.140625" customWidth="1"/>
    <col min="14135" max="14135" width="15.7109375" customWidth="1"/>
    <col min="14136" max="14137" width="6.42578125" customWidth="1"/>
    <col min="14138" max="14138" width="24.5703125" customWidth="1"/>
    <col min="14139" max="14139" width="34.7109375" customWidth="1"/>
    <col min="14140" max="14140" width="16.42578125" customWidth="1"/>
    <col min="14141" max="14141" width="16" bestFit="1" customWidth="1"/>
    <col min="14142" max="14142" width="29.140625" customWidth="1"/>
    <col min="14143" max="14143" width="15.7109375" customWidth="1"/>
    <col min="14144" max="14145" width="6.42578125" customWidth="1"/>
    <col min="14146" max="14146" width="24.5703125" customWidth="1"/>
    <col min="14147" max="14147" width="34.7109375" customWidth="1"/>
    <col min="14148" max="14148" width="16.42578125" customWidth="1"/>
    <col min="14149" max="14149" width="16" bestFit="1" customWidth="1"/>
    <col min="14150" max="14150" width="29.140625" customWidth="1"/>
    <col min="14151" max="14151" width="15.7109375" customWidth="1"/>
    <col min="14152" max="14153" width="6.42578125" customWidth="1"/>
    <col min="14154" max="14154" width="24.5703125" customWidth="1"/>
    <col min="14155" max="14155" width="34.7109375" customWidth="1"/>
    <col min="14156" max="14156" width="16.42578125" customWidth="1"/>
    <col min="14157" max="14157" width="16" bestFit="1" customWidth="1"/>
    <col min="14158" max="14158" width="29.140625" customWidth="1"/>
    <col min="14159" max="14159" width="15.7109375" customWidth="1"/>
    <col min="14160" max="14161" width="6.42578125" customWidth="1"/>
    <col min="14162" max="14162" width="24.5703125" customWidth="1"/>
    <col min="14163" max="14163" width="34.7109375" customWidth="1"/>
    <col min="14164" max="14164" width="16.42578125" customWidth="1"/>
    <col min="14165" max="14165" width="16" bestFit="1" customWidth="1"/>
    <col min="14166" max="14166" width="29.140625" customWidth="1"/>
    <col min="14167" max="14167" width="15.7109375" customWidth="1"/>
    <col min="14168" max="14169" width="6.42578125" customWidth="1"/>
    <col min="14170" max="14170" width="24.5703125" customWidth="1"/>
    <col min="14171" max="14171" width="34.7109375" customWidth="1"/>
    <col min="14172" max="14172" width="16.42578125" customWidth="1"/>
    <col min="14173" max="14173" width="16" bestFit="1" customWidth="1"/>
    <col min="14174" max="14174" width="29.140625" customWidth="1"/>
    <col min="14175" max="14175" width="15.7109375" customWidth="1"/>
    <col min="14176" max="14177" width="6.42578125" customWidth="1"/>
    <col min="14178" max="14178" width="24.5703125" customWidth="1"/>
    <col min="14179" max="14179" width="34.7109375" customWidth="1"/>
    <col min="14180" max="14180" width="16.42578125" customWidth="1"/>
    <col min="14181" max="14181" width="16" bestFit="1" customWidth="1"/>
    <col min="14182" max="14182" width="29.140625" customWidth="1"/>
    <col min="14183" max="14183" width="15.7109375" customWidth="1"/>
    <col min="14184" max="14185" width="6.42578125" customWidth="1"/>
    <col min="14186" max="14186" width="24.5703125" customWidth="1"/>
    <col min="14187" max="14187" width="34.7109375" customWidth="1"/>
    <col min="14188" max="14188" width="16.42578125" customWidth="1"/>
    <col min="14189" max="14189" width="16" bestFit="1" customWidth="1"/>
    <col min="14190" max="14190" width="29.140625" customWidth="1"/>
    <col min="14191" max="14191" width="15.7109375" customWidth="1"/>
    <col min="14192" max="14193" width="6.42578125" customWidth="1"/>
    <col min="14194" max="14194" width="24.5703125" customWidth="1"/>
    <col min="14195" max="14195" width="34.7109375" customWidth="1"/>
    <col min="14196" max="14196" width="16.42578125" customWidth="1"/>
    <col min="14197" max="14197" width="16" bestFit="1" customWidth="1"/>
    <col min="14198" max="14198" width="29.140625" customWidth="1"/>
    <col min="14199" max="14199" width="15.7109375" customWidth="1"/>
    <col min="14200" max="14201" width="6.42578125" customWidth="1"/>
    <col min="14202" max="14202" width="24.5703125" customWidth="1"/>
    <col min="14203" max="14203" width="34.7109375" customWidth="1"/>
    <col min="14204" max="14204" width="16.42578125" customWidth="1"/>
    <col min="14205" max="14205" width="16" bestFit="1" customWidth="1"/>
    <col min="14206" max="14206" width="29.140625" customWidth="1"/>
    <col min="14207" max="14207" width="15.7109375" customWidth="1"/>
    <col min="14208" max="14209" width="6.42578125" customWidth="1"/>
    <col min="14210" max="14210" width="24.5703125" customWidth="1"/>
    <col min="14211" max="14211" width="34.7109375" customWidth="1"/>
    <col min="14212" max="14212" width="16.42578125" customWidth="1"/>
    <col min="14213" max="14213" width="16" bestFit="1" customWidth="1"/>
    <col min="14214" max="14214" width="29.140625" customWidth="1"/>
    <col min="14215" max="14215" width="15.7109375" customWidth="1"/>
    <col min="14216" max="14217" width="6.42578125" customWidth="1"/>
    <col min="14218" max="14218" width="24.5703125" customWidth="1"/>
    <col min="14219" max="14219" width="34.7109375" customWidth="1"/>
    <col min="14220" max="14220" width="16.42578125" customWidth="1"/>
    <col min="14221" max="14221" width="16" bestFit="1" customWidth="1"/>
    <col min="14222" max="14222" width="29.140625" customWidth="1"/>
    <col min="14223" max="14223" width="15.7109375" customWidth="1"/>
    <col min="14224" max="14225" width="6.42578125" customWidth="1"/>
    <col min="14226" max="14226" width="24.5703125" customWidth="1"/>
    <col min="14227" max="14227" width="34.7109375" customWidth="1"/>
    <col min="14228" max="14228" width="16.42578125" customWidth="1"/>
    <col min="14229" max="14229" width="16" bestFit="1" customWidth="1"/>
    <col min="14230" max="14230" width="29.140625" customWidth="1"/>
    <col min="14231" max="14231" width="15.7109375" customWidth="1"/>
    <col min="14232" max="14233" width="6.42578125" customWidth="1"/>
    <col min="14234" max="14234" width="24.5703125" customWidth="1"/>
    <col min="14235" max="14235" width="34.7109375" customWidth="1"/>
    <col min="14236" max="14236" width="16.42578125" customWidth="1"/>
    <col min="14237" max="14237" width="16" bestFit="1" customWidth="1"/>
    <col min="14238" max="14238" width="29.140625" customWidth="1"/>
    <col min="14239" max="14239" width="15.7109375" customWidth="1"/>
    <col min="14240" max="14241" width="6.42578125" customWidth="1"/>
    <col min="14242" max="14242" width="24.5703125" customWidth="1"/>
    <col min="14243" max="14243" width="34.7109375" customWidth="1"/>
    <col min="14244" max="14244" width="16.42578125" customWidth="1"/>
    <col min="14245" max="14245" width="16" bestFit="1" customWidth="1"/>
    <col min="14246" max="14246" width="29.140625" customWidth="1"/>
    <col min="14247" max="14247" width="15.7109375" customWidth="1"/>
    <col min="14248" max="14249" width="6.42578125" customWidth="1"/>
    <col min="14250" max="14250" width="24.5703125" customWidth="1"/>
    <col min="14251" max="14251" width="34.7109375" customWidth="1"/>
    <col min="14252" max="14252" width="16.42578125" customWidth="1"/>
    <col min="14253" max="14253" width="16" bestFit="1" customWidth="1"/>
    <col min="14254" max="14254" width="29.140625" customWidth="1"/>
    <col min="14255" max="14255" width="15.7109375" customWidth="1"/>
    <col min="14256" max="14257" width="6.42578125" customWidth="1"/>
    <col min="14258" max="14258" width="24.5703125" customWidth="1"/>
    <col min="14259" max="14259" width="34.7109375" customWidth="1"/>
    <col min="14260" max="14260" width="16.42578125" customWidth="1"/>
    <col min="14261" max="14261" width="16" bestFit="1" customWidth="1"/>
    <col min="14262" max="14262" width="29.140625" customWidth="1"/>
    <col min="14263" max="14263" width="15.7109375" customWidth="1"/>
    <col min="14264" max="14265" width="6.42578125" customWidth="1"/>
    <col min="14266" max="14266" width="24.5703125" customWidth="1"/>
    <col min="14267" max="14267" width="34.7109375" customWidth="1"/>
    <col min="14268" max="14268" width="16.42578125" customWidth="1"/>
    <col min="14269" max="14269" width="16" bestFit="1" customWidth="1"/>
    <col min="14270" max="14270" width="29.140625" customWidth="1"/>
    <col min="14271" max="14271" width="15.7109375" customWidth="1"/>
    <col min="14272" max="14273" width="6.42578125" customWidth="1"/>
    <col min="14274" max="14274" width="24.5703125" customWidth="1"/>
    <col min="14275" max="14275" width="34.7109375" customWidth="1"/>
    <col min="14276" max="14276" width="16.42578125" customWidth="1"/>
    <col min="14277" max="14277" width="16" bestFit="1" customWidth="1"/>
    <col min="14278" max="14278" width="29.140625" customWidth="1"/>
    <col min="14279" max="14279" width="15.7109375" customWidth="1"/>
    <col min="14280" max="14281" width="6.42578125" customWidth="1"/>
    <col min="14282" max="14282" width="24.5703125" customWidth="1"/>
    <col min="14283" max="14283" width="34.7109375" customWidth="1"/>
    <col min="14284" max="14284" width="16.42578125" customWidth="1"/>
    <col min="14285" max="14285" width="16" bestFit="1" customWidth="1"/>
    <col min="14286" max="14286" width="29.140625" customWidth="1"/>
    <col min="14287" max="14287" width="15.7109375" customWidth="1"/>
    <col min="14288" max="14289" width="6.42578125" customWidth="1"/>
    <col min="14290" max="14290" width="24.5703125" customWidth="1"/>
    <col min="14291" max="14291" width="34.7109375" customWidth="1"/>
    <col min="14292" max="14292" width="16.42578125" customWidth="1"/>
    <col min="14293" max="14293" width="16" bestFit="1" customWidth="1"/>
    <col min="14294" max="14294" width="29.140625" customWidth="1"/>
    <col min="14295" max="14295" width="15.7109375" customWidth="1"/>
    <col min="14296" max="14297" width="6.42578125" customWidth="1"/>
    <col min="14298" max="14298" width="24.5703125" customWidth="1"/>
    <col min="14299" max="14299" width="34.7109375" customWidth="1"/>
    <col min="14300" max="14300" width="16.42578125" customWidth="1"/>
    <col min="14301" max="14301" width="16" bestFit="1" customWidth="1"/>
    <col min="14302" max="14302" width="29.140625" customWidth="1"/>
    <col min="14303" max="14303" width="15.7109375" customWidth="1"/>
    <col min="14304" max="14305" width="6.42578125" customWidth="1"/>
    <col min="14306" max="14306" width="24.5703125" customWidth="1"/>
    <col min="14307" max="14307" width="34.7109375" customWidth="1"/>
    <col min="14308" max="14308" width="16.42578125" customWidth="1"/>
    <col min="14309" max="14309" width="16" bestFit="1" customWidth="1"/>
    <col min="14310" max="14310" width="29.140625" customWidth="1"/>
    <col min="14311" max="14311" width="15.7109375" customWidth="1"/>
    <col min="14312" max="14313" width="6.42578125" customWidth="1"/>
    <col min="14314" max="14314" width="24.5703125" customWidth="1"/>
    <col min="14315" max="14315" width="34.7109375" customWidth="1"/>
    <col min="14316" max="14316" width="16.42578125" customWidth="1"/>
    <col min="14317" max="14317" width="16" bestFit="1" customWidth="1"/>
    <col min="14318" max="14318" width="29.140625" customWidth="1"/>
    <col min="14319" max="14319" width="15.7109375" customWidth="1"/>
    <col min="14320" max="14321" width="6.42578125" customWidth="1"/>
    <col min="14322" max="14322" width="24.5703125" customWidth="1"/>
    <col min="14323" max="14323" width="34.7109375" customWidth="1"/>
    <col min="14324" max="14324" width="16.42578125" customWidth="1"/>
    <col min="14325" max="14325" width="16" bestFit="1" customWidth="1"/>
    <col min="14326" max="14326" width="29.140625" customWidth="1"/>
    <col min="14327" max="14327" width="15.7109375" customWidth="1"/>
    <col min="14328" max="14329" width="6.42578125" customWidth="1"/>
    <col min="14330" max="14330" width="24.5703125" customWidth="1"/>
    <col min="14331" max="14331" width="34.7109375" customWidth="1"/>
    <col min="14332" max="14332" width="16.42578125" customWidth="1"/>
    <col min="14333" max="14333" width="16" bestFit="1" customWidth="1"/>
    <col min="14334" max="14334" width="29.140625" customWidth="1"/>
    <col min="14335" max="14335" width="15.7109375" customWidth="1"/>
    <col min="14336" max="14337" width="6.42578125" customWidth="1"/>
    <col min="14338" max="14338" width="24.5703125" customWidth="1"/>
    <col min="14339" max="14339" width="34.7109375" customWidth="1"/>
    <col min="14340" max="14340" width="16.42578125" customWidth="1"/>
    <col min="14341" max="14341" width="16" bestFit="1" customWidth="1"/>
    <col min="14342" max="14342" width="29.140625" customWidth="1"/>
    <col min="14343" max="14343" width="15.7109375" customWidth="1"/>
    <col min="14344" max="14345" width="6.42578125" customWidth="1"/>
    <col min="14346" max="14346" width="24.5703125" customWidth="1"/>
    <col min="14347" max="14347" width="34.7109375" customWidth="1"/>
    <col min="14348" max="14348" width="16.42578125" customWidth="1"/>
    <col min="14349" max="14349" width="16" bestFit="1" customWidth="1"/>
    <col min="14350" max="14350" width="29.140625" customWidth="1"/>
    <col min="14351" max="14351" width="15.7109375" customWidth="1"/>
    <col min="14352" max="14353" width="6.42578125" customWidth="1"/>
    <col min="14354" max="14354" width="24.5703125" customWidth="1"/>
    <col min="14355" max="14355" width="34.7109375" customWidth="1"/>
    <col min="14356" max="14356" width="16.42578125" customWidth="1"/>
    <col min="14357" max="14357" width="16" bestFit="1" customWidth="1"/>
    <col min="14358" max="14358" width="29.140625" customWidth="1"/>
    <col min="14359" max="14359" width="15.7109375" customWidth="1"/>
    <col min="14360" max="14361" width="6.42578125" customWidth="1"/>
    <col min="14362" max="14362" width="24.5703125" customWidth="1"/>
    <col min="14363" max="14363" width="34.7109375" customWidth="1"/>
    <col min="14364" max="14364" width="16.42578125" customWidth="1"/>
    <col min="14365" max="14365" width="16" bestFit="1" customWidth="1"/>
    <col min="14366" max="14366" width="29.140625" customWidth="1"/>
    <col min="14367" max="14367" width="15.7109375" customWidth="1"/>
    <col min="14368" max="14369" width="6.42578125" customWidth="1"/>
    <col min="14370" max="14370" width="24.5703125" customWidth="1"/>
    <col min="14371" max="14371" width="34.7109375" customWidth="1"/>
    <col min="14372" max="14372" width="16.42578125" customWidth="1"/>
    <col min="14373" max="14373" width="16" bestFit="1" customWidth="1"/>
    <col min="14374" max="14374" width="29.140625" customWidth="1"/>
    <col min="14375" max="14375" width="15.7109375" customWidth="1"/>
    <col min="14376" max="14377" width="6.42578125" customWidth="1"/>
    <col min="14378" max="14378" width="24.5703125" customWidth="1"/>
    <col min="14379" max="14379" width="34.7109375" customWidth="1"/>
    <col min="14380" max="14380" width="16.42578125" customWidth="1"/>
    <col min="14381" max="14381" width="16" bestFit="1" customWidth="1"/>
    <col min="14382" max="14382" width="29.140625" customWidth="1"/>
    <col min="14383" max="14383" width="15.7109375" customWidth="1"/>
    <col min="14384" max="14385" width="6.42578125" customWidth="1"/>
    <col min="14386" max="14386" width="24.5703125" customWidth="1"/>
    <col min="14387" max="14387" width="34.7109375" customWidth="1"/>
    <col min="14388" max="14388" width="16.42578125" customWidth="1"/>
    <col min="14389" max="14389" width="16" bestFit="1" customWidth="1"/>
    <col min="14390" max="14390" width="29.140625" customWidth="1"/>
    <col min="14391" max="14391" width="15.7109375" customWidth="1"/>
    <col min="14392" max="14393" width="6.42578125" customWidth="1"/>
    <col min="14394" max="14394" width="24.5703125" customWidth="1"/>
    <col min="14395" max="14395" width="34.7109375" customWidth="1"/>
    <col min="14396" max="14396" width="16.42578125" customWidth="1"/>
    <col min="14397" max="14397" width="16" bestFit="1" customWidth="1"/>
    <col min="14398" max="14398" width="29.140625" customWidth="1"/>
    <col min="14399" max="14399" width="15.7109375" customWidth="1"/>
    <col min="14400" max="14401" width="6.42578125" customWidth="1"/>
    <col min="14402" max="14402" width="24.5703125" customWidth="1"/>
    <col min="14403" max="14403" width="34.7109375" customWidth="1"/>
    <col min="14404" max="14404" width="16.42578125" customWidth="1"/>
    <col min="14405" max="14405" width="16" bestFit="1" customWidth="1"/>
    <col min="14406" max="14406" width="29.140625" customWidth="1"/>
    <col min="14407" max="14407" width="15.7109375" customWidth="1"/>
    <col min="14408" max="14409" width="6.42578125" customWidth="1"/>
    <col min="14410" max="14410" width="24.5703125" customWidth="1"/>
    <col min="14411" max="14411" width="34.7109375" customWidth="1"/>
    <col min="14412" max="14412" width="16.42578125" customWidth="1"/>
    <col min="14413" max="14413" width="16" bestFit="1" customWidth="1"/>
    <col min="14414" max="14414" width="29.140625" customWidth="1"/>
    <col min="14415" max="14415" width="15.7109375" customWidth="1"/>
    <col min="14416" max="14417" width="6.42578125" customWidth="1"/>
    <col min="14418" max="14418" width="24.5703125" customWidth="1"/>
    <col min="14419" max="14419" width="34.7109375" customWidth="1"/>
    <col min="14420" max="14420" width="16.42578125" customWidth="1"/>
    <col min="14421" max="14421" width="16" bestFit="1" customWidth="1"/>
    <col min="14422" max="14422" width="29.140625" customWidth="1"/>
    <col min="14423" max="14423" width="15.7109375" customWidth="1"/>
    <col min="14424" max="14425" width="6.42578125" customWidth="1"/>
    <col min="14426" max="14426" width="24.5703125" customWidth="1"/>
    <col min="14427" max="14427" width="34.7109375" customWidth="1"/>
    <col min="14428" max="14428" width="16.42578125" customWidth="1"/>
    <col min="14429" max="14429" width="16" bestFit="1" customWidth="1"/>
    <col min="14430" max="14430" width="29.140625" customWidth="1"/>
    <col min="14431" max="14431" width="15.7109375" customWidth="1"/>
    <col min="14432" max="14433" width="6.42578125" customWidth="1"/>
    <col min="14434" max="14434" width="24.5703125" customWidth="1"/>
    <col min="14435" max="14435" width="34.7109375" customWidth="1"/>
    <col min="14436" max="14436" width="16.42578125" customWidth="1"/>
    <col min="14437" max="14437" width="16" bestFit="1" customWidth="1"/>
    <col min="14438" max="14438" width="29.140625" customWidth="1"/>
    <col min="14439" max="14439" width="15.7109375" customWidth="1"/>
    <col min="14440" max="14441" width="6.42578125" customWidth="1"/>
    <col min="14442" max="14442" width="24.5703125" customWidth="1"/>
    <col min="14443" max="14443" width="34.7109375" customWidth="1"/>
    <col min="14444" max="14444" width="16.42578125" customWidth="1"/>
    <col min="14445" max="14445" width="16" bestFit="1" customWidth="1"/>
    <col min="14446" max="14446" width="29.140625" customWidth="1"/>
    <col min="14447" max="14447" width="15.7109375" customWidth="1"/>
    <col min="14448" max="14449" width="6.42578125" customWidth="1"/>
    <col min="14450" max="14450" width="24.5703125" customWidth="1"/>
    <col min="14451" max="14451" width="34.7109375" customWidth="1"/>
    <col min="14452" max="14452" width="16.42578125" customWidth="1"/>
    <col min="14453" max="14453" width="16" bestFit="1" customWidth="1"/>
    <col min="14454" max="14454" width="29.140625" customWidth="1"/>
    <col min="14455" max="14455" width="15.7109375" customWidth="1"/>
    <col min="14456" max="14457" width="6.42578125" customWidth="1"/>
    <col min="14458" max="14458" width="24.5703125" customWidth="1"/>
    <col min="14459" max="14459" width="34.7109375" customWidth="1"/>
    <col min="14460" max="14460" width="16.42578125" customWidth="1"/>
    <col min="14461" max="14461" width="16" bestFit="1" customWidth="1"/>
    <col min="14462" max="14462" width="29.140625" customWidth="1"/>
    <col min="14463" max="14463" width="15.7109375" customWidth="1"/>
    <col min="14464" max="14465" width="6.42578125" customWidth="1"/>
    <col min="14466" max="14466" width="24.5703125" customWidth="1"/>
    <col min="14467" max="14467" width="34.7109375" customWidth="1"/>
    <col min="14468" max="14468" width="16.42578125" customWidth="1"/>
    <col min="14469" max="14469" width="16" bestFit="1" customWidth="1"/>
    <col min="14470" max="14470" width="29.140625" customWidth="1"/>
    <col min="14471" max="14471" width="15.7109375" customWidth="1"/>
    <col min="14472" max="14473" width="6.42578125" customWidth="1"/>
    <col min="14474" max="14474" width="24.5703125" customWidth="1"/>
    <col min="14475" max="14475" width="34.7109375" customWidth="1"/>
    <col min="14476" max="14476" width="16.42578125" customWidth="1"/>
    <col min="14477" max="14477" width="16" bestFit="1" customWidth="1"/>
    <col min="14478" max="14478" width="29.140625" customWidth="1"/>
    <col min="14479" max="14479" width="15.7109375" customWidth="1"/>
    <col min="14480" max="14481" width="6.42578125" customWidth="1"/>
    <col min="14482" max="14482" width="24.5703125" customWidth="1"/>
    <col min="14483" max="14483" width="34.7109375" customWidth="1"/>
    <col min="14484" max="14484" width="16.42578125" customWidth="1"/>
    <col min="14485" max="14485" width="16" bestFit="1" customWidth="1"/>
    <col min="14486" max="14486" width="29.140625" customWidth="1"/>
    <col min="14487" max="14487" width="15.7109375" customWidth="1"/>
    <col min="14488" max="14489" width="6.42578125" customWidth="1"/>
    <col min="14490" max="14490" width="24.5703125" customWidth="1"/>
    <col min="14491" max="14491" width="34.7109375" customWidth="1"/>
    <col min="14492" max="14492" width="16.42578125" customWidth="1"/>
    <col min="14493" max="14493" width="16" bestFit="1" customWidth="1"/>
    <col min="14494" max="14494" width="29.140625" customWidth="1"/>
    <col min="14495" max="14495" width="15.7109375" customWidth="1"/>
    <col min="14496" max="14497" width="6.42578125" customWidth="1"/>
    <col min="14498" max="14498" width="24.5703125" customWidth="1"/>
    <col min="14499" max="14499" width="34.7109375" customWidth="1"/>
    <col min="14500" max="14500" width="16.42578125" customWidth="1"/>
    <col min="14501" max="14501" width="16" bestFit="1" customWidth="1"/>
    <col min="14502" max="14502" width="29.140625" customWidth="1"/>
    <col min="14503" max="14503" width="15.7109375" customWidth="1"/>
    <col min="14504" max="14505" width="6.42578125" customWidth="1"/>
    <col min="14506" max="14506" width="24.5703125" customWidth="1"/>
    <col min="14507" max="14507" width="34.7109375" customWidth="1"/>
    <col min="14508" max="14508" width="16.42578125" customWidth="1"/>
    <col min="14509" max="14509" width="16" bestFit="1" customWidth="1"/>
    <col min="14510" max="14510" width="29.140625" customWidth="1"/>
    <col min="14511" max="14511" width="15.7109375" customWidth="1"/>
    <col min="14512" max="14513" width="6.42578125" customWidth="1"/>
    <col min="14514" max="14514" width="24.5703125" customWidth="1"/>
    <col min="14515" max="14515" width="34.7109375" customWidth="1"/>
    <col min="14516" max="14516" width="16.42578125" customWidth="1"/>
    <col min="14517" max="14517" width="16" bestFit="1" customWidth="1"/>
    <col min="14518" max="14518" width="29.140625" customWidth="1"/>
    <col min="14519" max="14519" width="15.7109375" customWidth="1"/>
    <col min="14520" max="14521" width="6.42578125" customWidth="1"/>
    <col min="14522" max="14522" width="24.5703125" customWidth="1"/>
    <col min="14523" max="14523" width="34.7109375" customWidth="1"/>
    <col min="14524" max="14524" width="16.42578125" customWidth="1"/>
    <col min="14525" max="14525" width="16" bestFit="1" customWidth="1"/>
    <col min="14526" max="14526" width="29.140625" customWidth="1"/>
    <col min="14527" max="14527" width="15.7109375" customWidth="1"/>
    <col min="14528" max="14529" width="6.42578125" customWidth="1"/>
    <col min="14530" max="14530" width="24.5703125" customWidth="1"/>
    <col min="14531" max="14531" width="34.7109375" customWidth="1"/>
    <col min="14532" max="14532" width="16.42578125" customWidth="1"/>
    <col min="14533" max="14533" width="16" bestFit="1" customWidth="1"/>
    <col min="14534" max="14534" width="29.140625" customWidth="1"/>
    <col min="14535" max="14535" width="15.7109375" customWidth="1"/>
    <col min="14536" max="14537" width="6.42578125" customWidth="1"/>
    <col min="14538" max="14538" width="24.5703125" customWidth="1"/>
    <col min="14539" max="14539" width="34.7109375" customWidth="1"/>
    <col min="14540" max="14540" width="16.42578125" customWidth="1"/>
    <col min="14541" max="14541" width="16" bestFit="1" customWidth="1"/>
    <col min="14542" max="14542" width="29.140625" customWidth="1"/>
    <col min="14543" max="14543" width="15.7109375" customWidth="1"/>
    <col min="14544" max="14545" width="6.42578125" customWidth="1"/>
    <col min="14546" max="14546" width="24.5703125" customWidth="1"/>
    <col min="14547" max="14547" width="34.7109375" customWidth="1"/>
    <col min="14548" max="14548" width="16.42578125" customWidth="1"/>
    <col min="14549" max="14549" width="16" bestFit="1" customWidth="1"/>
    <col min="14550" max="14550" width="29.140625" customWidth="1"/>
    <col min="14551" max="14551" width="15.7109375" customWidth="1"/>
    <col min="14552" max="14553" width="6.42578125" customWidth="1"/>
    <col min="14554" max="14554" width="24.5703125" customWidth="1"/>
    <col min="14555" max="14555" width="34.7109375" customWidth="1"/>
    <col min="14556" max="14556" width="16.42578125" customWidth="1"/>
    <col min="14557" max="14557" width="16" bestFit="1" customWidth="1"/>
    <col min="14558" max="14558" width="29.140625" customWidth="1"/>
    <col min="14559" max="14559" width="15.7109375" customWidth="1"/>
    <col min="14560" max="14561" width="6.42578125" customWidth="1"/>
    <col min="14562" max="14562" width="24.5703125" customWidth="1"/>
    <col min="14563" max="14563" width="34.7109375" customWidth="1"/>
    <col min="14564" max="14564" width="16.42578125" customWidth="1"/>
    <col min="14565" max="14565" width="16" bestFit="1" customWidth="1"/>
    <col min="14566" max="14566" width="29.140625" customWidth="1"/>
    <col min="14567" max="14567" width="15.7109375" customWidth="1"/>
    <col min="14568" max="14569" width="6.42578125" customWidth="1"/>
    <col min="14570" max="14570" width="24.5703125" customWidth="1"/>
    <col min="14571" max="14571" width="34.7109375" customWidth="1"/>
    <col min="14572" max="14572" width="16.42578125" customWidth="1"/>
    <col min="14573" max="14573" width="16" bestFit="1" customWidth="1"/>
    <col min="14574" max="14574" width="29.140625" customWidth="1"/>
    <col min="14575" max="14575" width="15.7109375" customWidth="1"/>
    <col min="14576" max="14577" width="6.42578125" customWidth="1"/>
    <col min="14578" max="14578" width="24.5703125" customWidth="1"/>
    <col min="14579" max="14579" width="34.7109375" customWidth="1"/>
    <col min="14580" max="14580" width="16.42578125" customWidth="1"/>
    <col min="14581" max="14581" width="16" bestFit="1" customWidth="1"/>
    <col min="14582" max="14582" width="29.140625" customWidth="1"/>
    <col min="14583" max="14583" width="15.7109375" customWidth="1"/>
    <col min="14584" max="14585" width="6.42578125" customWidth="1"/>
    <col min="14586" max="14586" width="24.5703125" customWidth="1"/>
    <col min="14587" max="14587" width="34.7109375" customWidth="1"/>
    <col min="14588" max="14588" width="16.42578125" customWidth="1"/>
    <col min="14589" max="14589" width="16" bestFit="1" customWidth="1"/>
    <col min="14590" max="14590" width="29.140625" customWidth="1"/>
    <col min="14591" max="14591" width="15.7109375" customWidth="1"/>
    <col min="14592" max="14593" width="6.42578125" customWidth="1"/>
    <col min="14594" max="14594" width="24.5703125" customWidth="1"/>
    <col min="14595" max="14595" width="34.7109375" customWidth="1"/>
    <col min="14596" max="14596" width="16.42578125" customWidth="1"/>
    <col min="14597" max="14597" width="16" bestFit="1" customWidth="1"/>
    <col min="14598" max="14598" width="29.140625" customWidth="1"/>
    <col min="14599" max="14599" width="15.7109375" customWidth="1"/>
    <col min="14600" max="14601" width="6.42578125" customWidth="1"/>
    <col min="14602" max="14602" width="24.5703125" customWidth="1"/>
    <col min="14603" max="14603" width="34.7109375" customWidth="1"/>
    <col min="14604" max="14604" width="16.42578125" customWidth="1"/>
    <col min="14605" max="14605" width="16" bestFit="1" customWidth="1"/>
    <col min="14606" max="14606" width="29.140625" customWidth="1"/>
    <col min="14607" max="14607" width="15.7109375" customWidth="1"/>
    <col min="14608" max="14609" width="6.42578125" customWidth="1"/>
    <col min="14610" max="14610" width="24.5703125" customWidth="1"/>
    <col min="14611" max="14611" width="34.7109375" customWidth="1"/>
    <col min="14612" max="14612" width="16.42578125" customWidth="1"/>
    <col min="14613" max="14613" width="16" bestFit="1" customWidth="1"/>
    <col min="14614" max="14614" width="29.140625" customWidth="1"/>
    <col min="14615" max="14615" width="15.7109375" customWidth="1"/>
    <col min="14616" max="14617" width="6.42578125" customWidth="1"/>
    <col min="14618" max="14618" width="24.5703125" customWidth="1"/>
    <col min="14619" max="14619" width="34.7109375" customWidth="1"/>
    <col min="14620" max="14620" width="16.42578125" customWidth="1"/>
    <col min="14621" max="14621" width="16" bestFit="1" customWidth="1"/>
    <col min="14622" max="14622" width="29.140625" customWidth="1"/>
    <col min="14623" max="14623" width="15.7109375" customWidth="1"/>
    <col min="14624" max="14625" width="6.42578125" customWidth="1"/>
    <col min="14626" max="14626" width="24.5703125" customWidth="1"/>
    <col min="14627" max="14627" width="34.7109375" customWidth="1"/>
    <col min="14628" max="14628" width="16.42578125" customWidth="1"/>
    <col min="14629" max="14629" width="16" bestFit="1" customWidth="1"/>
    <col min="14630" max="14630" width="29.140625" customWidth="1"/>
    <col min="14631" max="14631" width="15.7109375" customWidth="1"/>
    <col min="14632" max="14633" width="6.42578125" customWidth="1"/>
    <col min="14634" max="14634" width="24.5703125" customWidth="1"/>
    <col min="14635" max="14635" width="34.7109375" customWidth="1"/>
    <col min="14636" max="14636" width="16.42578125" customWidth="1"/>
    <col min="14637" max="14637" width="16" bestFit="1" customWidth="1"/>
    <col min="14638" max="14638" width="29.140625" customWidth="1"/>
    <col min="14639" max="14639" width="15.7109375" customWidth="1"/>
    <col min="14640" max="14641" width="6.42578125" customWidth="1"/>
    <col min="14642" max="14642" width="24.5703125" customWidth="1"/>
    <col min="14643" max="14643" width="34.7109375" customWidth="1"/>
    <col min="14644" max="14644" width="16.42578125" customWidth="1"/>
    <col min="14645" max="14645" width="16" bestFit="1" customWidth="1"/>
    <col min="14646" max="14646" width="29.140625" customWidth="1"/>
    <col min="14647" max="14647" width="15.7109375" customWidth="1"/>
    <col min="14648" max="14649" width="6.42578125" customWidth="1"/>
    <col min="14650" max="14650" width="24.5703125" customWidth="1"/>
    <col min="14651" max="14651" width="34.7109375" customWidth="1"/>
    <col min="14652" max="14652" width="16.42578125" customWidth="1"/>
    <col min="14653" max="14653" width="16" bestFit="1" customWidth="1"/>
    <col min="14654" max="14654" width="29.140625" customWidth="1"/>
    <col min="14655" max="14655" width="15.7109375" customWidth="1"/>
    <col min="14656" max="14657" width="6.42578125" customWidth="1"/>
    <col min="14658" max="14658" width="24.5703125" customWidth="1"/>
    <col min="14659" max="14659" width="34.7109375" customWidth="1"/>
    <col min="14660" max="14660" width="16.42578125" customWidth="1"/>
    <col min="14661" max="14661" width="16" bestFit="1" customWidth="1"/>
    <col min="14662" max="14662" width="29.140625" customWidth="1"/>
    <col min="14663" max="14663" width="15.7109375" customWidth="1"/>
    <col min="14664" max="14665" width="6.42578125" customWidth="1"/>
    <col min="14666" max="14666" width="24.5703125" customWidth="1"/>
    <col min="14667" max="14667" width="34.7109375" customWidth="1"/>
    <col min="14668" max="14668" width="16.42578125" customWidth="1"/>
    <col min="14669" max="14669" width="16" bestFit="1" customWidth="1"/>
    <col min="14670" max="14670" width="29.140625" customWidth="1"/>
    <col min="14671" max="14671" width="15.7109375" customWidth="1"/>
    <col min="14672" max="14673" width="6.42578125" customWidth="1"/>
    <col min="14674" max="14674" width="24.5703125" customWidth="1"/>
    <col min="14675" max="14675" width="34.7109375" customWidth="1"/>
    <col min="14676" max="14676" width="16.42578125" customWidth="1"/>
    <col min="14677" max="14677" width="16" bestFit="1" customWidth="1"/>
    <col min="14678" max="14678" width="29.140625" customWidth="1"/>
    <col min="14679" max="14679" width="15.7109375" customWidth="1"/>
    <col min="14680" max="14681" width="6.42578125" customWidth="1"/>
    <col min="14682" max="14682" width="24.5703125" customWidth="1"/>
    <col min="14683" max="14683" width="34.7109375" customWidth="1"/>
    <col min="14684" max="14684" width="16.42578125" customWidth="1"/>
    <col min="14685" max="14685" width="16" bestFit="1" customWidth="1"/>
    <col min="14686" max="14686" width="29.140625" customWidth="1"/>
    <col min="14687" max="14687" width="15.7109375" customWidth="1"/>
    <col min="14688" max="14689" width="6.42578125" customWidth="1"/>
    <col min="14690" max="14690" width="24.5703125" customWidth="1"/>
    <col min="14691" max="14691" width="34.7109375" customWidth="1"/>
    <col min="14692" max="14692" width="16.42578125" customWidth="1"/>
    <col min="14693" max="14693" width="16" bestFit="1" customWidth="1"/>
    <col min="14694" max="14694" width="29.140625" customWidth="1"/>
    <col min="14695" max="14695" width="15.7109375" customWidth="1"/>
    <col min="14696" max="14697" width="6.42578125" customWidth="1"/>
    <col min="14698" max="14698" width="24.5703125" customWidth="1"/>
    <col min="14699" max="14699" width="34.7109375" customWidth="1"/>
    <col min="14700" max="14700" width="16.42578125" customWidth="1"/>
    <col min="14701" max="14701" width="16" bestFit="1" customWidth="1"/>
    <col min="14702" max="14702" width="29.140625" customWidth="1"/>
    <col min="14703" max="14703" width="15.7109375" customWidth="1"/>
    <col min="14704" max="14705" width="6.42578125" customWidth="1"/>
    <col min="14706" max="14706" width="24.5703125" customWidth="1"/>
    <col min="14707" max="14707" width="34.7109375" customWidth="1"/>
    <col min="14708" max="14708" width="16.42578125" customWidth="1"/>
    <col min="14709" max="14709" width="16" bestFit="1" customWidth="1"/>
    <col min="14710" max="14710" width="29.140625" customWidth="1"/>
    <col min="14711" max="14711" width="15.7109375" customWidth="1"/>
    <col min="14712" max="14713" width="6.42578125" customWidth="1"/>
    <col min="14714" max="14714" width="24.5703125" customWidth="1"/>
    <col min="14715" max="14715" width="34.7109375" customWidth="1"/>
    <col min="14716" max="14716" width="16.42578125" customWidth="1"/>
    <col min="14717" max="14717" width="16" bestFit="1" customWidth="1"/>
    <col min="14718" max="14718" width="29.140625" customWidth="1"/>
    <col min="14719" max="14719" width="15.7109375" customWidth="1"/>
    <col min="14720" max="14721" width="6.42578125" customWidth="1"/>
    <col min="14722" max="14722" width="24.5703125" customWidth="1"/>
    <col min="14723" max="14723" width="34.7109375" customWidth="1"/>
    <col min="14724" max="14724" width="16.42578125" customWidth="1"/>
    <col min="14725" max="14725" width="16" bestFit="1" customWidth="1"/>
    <col min="14726" max="14726" width="29.140625" customWidth="1"/>
    <col min="14727" max="14727" width="15.7109375" customWidth="1"/>
    <col min="14728" max="14729" width="6.42578125" customWidth="1"/>
    <col min="14730" max="14730" width="24.5703125" customWidth="1"/>
    <col min="14731" max="14731" width="34.7109375" customWidth="1"/>
    <col min="14732" max="14732" width="16.42578125" customWidth="1"/>
    <col min="14733" max="14733" width="16" bestFit="1" customWidth="1"/>
    <col min="14734" max="14734" width="29.140625" customWidth="1"/>
    <col min="14735" max="14735" width="15.7109375" customWidth="1"/>
    <col min="14736" max="14737" width="6.42578125" customWidth="1"/>
    <col min="14738" max="14738" width="24.5703125" customWidth="1"/>
    <col min="14739" max="14739" width="34.7109375" customWidth="1"/>
    <col min="14740" max="14740" width="16.42578125" customWidth="1"/>
    <col min="14741" max="14741" width="16" bestFit="1" customWidth="1"/>
    <col min="14742" max="14742" width="29.140625" customWidth="1"/>
    <col min="14743" max="14743" width="15.7109375" customWidth="1"/>
    <col min="14744" max="14745" width="6.42578125" customWidth="1"/>
    <col min="14746" max="14746" width="24.5703125" customWidth="1"/>
    <col min="14747" max="14747" width="34.7109375" customWidth="1"/>
    <col min="14748" max="14748" width="16.42578125" customWidth="1"/>
    <col min="14749" max="14749" width="16" bestFit="1" customWidth="1"/>
    <col min="14750" max="14750" width="29.140625" customWidth="1"/>
    <col min="14751" max="14751" width="15.7109375" customWidth="1"/>
    <col min="14752" max="14753" width="6.42578125" customWidth="1"/>
    <col min="14754" max="14754" width="24.5703125" customWidth="1"/>
    <col min="14755" max="14755" width="34.7109375" customWidth="1"/>
    <col min="14756" max="14756" width="16.42578125" customWidth="1"/>
    <col min="14757" max="14757" width="16" bestFit="1" customWidth="1"/>
    <col min="14758" max="14758" width="29.140625" customWidth="1"/>
    <col min="14759" max="14759" width="15.7109375" customWidth="1"/>
    <col min="14760" max="14761" width="6.42578125" customWidth="1"/>
    <col min="14762" max="14762" width="24.5703125" customWidth="1"/>
    <col min="14763" max="14763" width="34.7109375" customWidth="1"/>
    <col min="14764" max="14764" width="16.42578125" customWidth="1"/>
    <col min="14765" max="14765" width="16" bestFit="1" customWidth="1"/>
    <col min="14766" max="14766" width="29.140625" customWidth="1"/>
    <col min="14767" max="14767" width="15.7109375" customWidth="1"/>
    <col min="14768" max="14769" width="6.42578125" customWidth="1"/>
    <col min="14770" max="14770" width="24.5703125" customWidth="1"/>
    <col min="14771" max="14771" width="34.7109375" customWidth="1"/>
    <col min="14772" max="14772" width="16.42578125" customWidth="1"/>
    <col min="14773" max="14773" width="16" bestFit="1" customWidth="1"/>
    <col min="14774" max="14774" width="29.140625" customWidth="1"/>
    <col min="14775" max="14775" width="15.7109375" customWidth="1"/>
    <col min="14776" max="14777" width="6.42578125" customWidth="1"/>
    <col min="14778" max="14778" width="24.5703125" customWidth="1"/>
    <col min="14779" max="14779" width="34.7109375" customWidth="1"/>
    <col min="14780" max="14780" width="16.42578125" customWidth="1"/>
    <col min="14781" max="14781" width="16" bestFit="1" customWidth="1"/>
    <col min="14782" max="14782" width="29.140625" customWidth="1"/>
    <col min="14783" max="14783" width="15.7109375" customWidth="1"/>
    <col min="14784" max="14785" width="6.42578125" customWidth="1"/>
    <col min="14786" max="14786" width="24.5703125" customWidth="1"/>
    <col min="14787" max="14787" width="34.7109375" customWidth="1"/>
    <col min="14788" max="14788" width="16.42578125" customWidth="1"/>
    <col min="14789" max="14789" width="16" bestFit="1" customWidth="1"/>
    <col min="14790" max="14790" width="29.140625" customWidth="1"/>
    <col min="14791" max="14791" width="15.7109375" customWidth="1"/>
    <col min="14792" max="14793" width="6.42578125" customWidth="1"/>
    <col min="14794" max="14794" width="24.5703125" customWidth="1"/>
    <col min="14795" max="14795" width="34.7109375" customWidth="1"/>
    <col min="14796" max="14796" width="16.42578125" customWidth="1"/>
    <col min="14797" max="14797" width="16" bestFit="1" customWidth="1"/>
    <col min="14798" max="14798" width="29.140625" customWidth="1"/>
    <col min="14799" max="14799" width="15.7109375" customWidth="1"/>
    <col min="14800" max="14801" width="6.42578125" customWidth="1"/>
    <col min="14802" max="14802" width="24.5703125" customWidth="1"/>
    <col min="14803" max="14803" width="34.7109375" customWidth="1"/>
    <col min="14804" max="14804" width="16.42578125" customWidth="1"/>
    <col min="14805" max="14805" width="16" bestFit="1" customWidth="1"/>
    <col min="14806" max="14806" width="29.140625" customWidth="1"/>
    <col min="14807" max="14807" width="15.7109375" customWidth="1"/>
    <col min="14808" max="14809" width="6.42578125" customWidth="1"/>
    <col min="14810" max="14810" width="24.5703125" customWidth="1"/>
    <col min="14811" max="14811" width="34.7109375" customWidth="1"/>
    <col min="14812" max="14812" width="16.42578125" customWidth="1"/>
    <col min="14813" max="14813" width="16" bestFit="1" customWidth="1"/>
    <col min="14814" max="14814" width="29.140625" customWidth="1"/>
    <col min="14815" max="14815" width="15.7109375" customWidth="1"/>
    <col min="14816" max="14817" width="6.42578125" customWidth="1"/>
    <col min="14818" max="14818" width="24.5703125" customWidth="1"/>
    <col min="14819" max="14819" width="34.7109375" customWidth="1"/>
    <col min="14820" max="14820" width="16.42578125" customWidth="1"/>
    <col min="14821" max="14821" width="16" bestFit="1" customWidth="1"/>
    <col min="14822" max="14822" width="29.140625" customWidth="1"/>
    <col min="14823" max="14823" width="15.7109375" customWidth="1"/>
    <col min="14824" max="14825" width="6.42578125" customWidth="1"/>
    <col min="14826" max="14826" width="24.5703125" customWidth="1"/>
    <col min="14827" max="14827" width="34.7109375" customWidth="1"/>
    <col min="14828" max="14828" width="16.42578125" customWidth="1"/>
    <col min="14829" max="14829" width="16" bestFit="1" customWidth="1"/>
    <col min="14830" max="14830" width="29.140625" customWidth="1"/>
    <col min="14831" max="14831" width="15.7109375" customWidth="1"/>
    <col min="14832" max="14833" width="6.42578125" customWidth="1"/>
    <col min="14834" max="14834" width="24.5703125" customWidth="1"/>
    <col min="14835" max="14835" width="34.7109375" customWidth="1"/>
    <col min="14836" max="14836" width="16.42578125" customWidth="1"/>
    <col min="14837" max="14837" width="16" bestFit="1" customWidth="1"/>
    <col min="14838" max="14838" width="29.140625" customWidth="1"/>
    <col min="14839" max="14839" width="15.7109375" customWidth="1"/>
    <col min="14840" max="14841" width="6.42578125" customWidth="1"/>
    <col min="14842" max="14842" width="24.5703125" customWidth="1"/>
    <col min="14843" max="14843" width="34.7109375" customWidth="1"/>
    <col min="14844" max="14844" width="16.42578125" customWidth="1"/>
    <col min="14845" max="14845" width="16" bestFit="1" customWidth="1"/>
    <col min="14846" max="14846" width="29.140625" customWidth="1"/>
    <col min="14847" max="14847" width="15.7109375" customWidth="1"/>
    <col min="14848" max="14849" width="6.42578125" customWidth="1"/>
    <col min="14850" max="14850" width="24.5703125" customWidth="1"/>
    <col min="14851" max="14851" width="34.7109375" customWidth="1"/>
    <col min="14852" max="14852" width="16.42578125" customWidth="1"/>
    <col min="14853" max="14853" width="16" bestFit="1" customWidth="1"/>
    <col min="14854" max="14854" width="29.140625" customWidth="1"/>
    <col min="14855" max="14855" width="15.7109375" customWidth="1"/>
    <col min="14856" max="14857" width="6.42578125" customWidth="1"/>
    <col min="14858" max="14858" width="24.5703125" customWidth="1"/>
    <col min="14859" max="14859" width="34.7109375" customWidth="1"/>
    <col min="14860" max="14860" width="16.42578125" customWidth="1"/>
    <col min="14861" max="14861" width="16" bestFit="1" customWidth="1"/>
    <col min="14862" max="14862" width="29.140625" customWidth="1"/>
    <col min="14863" max="14863" width="15.7109375" customWidth="1"/>
    <col min="14864" max="14865" width="6.42578125" customWidth="1"/>
    <col min="14866" max="14866" width="24.5703125" customWidth="1"/>
    <col min="14867" max="14867" width="34.7109375" customWidth="1"/>
    <col min="14868" max="14868" width="16.42578125" customWidth="1"/>
    <col min="14869" max="14869" width="16" bestFit="1" customWidth="1"/>
    <col min="14870" max="14870" width="29.140625" customWidth="1"/>
    <col min="14871" max="14871" width="15.7109375" customWidth="1"/>
    <col min="14872" max="14873" width="6.42578125" customWidth="1"/>
    <col min="14874" max="14874" width="24.5703125" customWidth="1"/>
    <col min="14875" max="14875" width="34.7109375" customWidth="1"/>
    <col min="14876" max="14876" width="16.42578125" customWidth="1"/>
    <col min="14877" max="14877" width="16" bestFit="1" customWidth="1"/>
    <col min="14878" max="14878" width="29.140625" customWidth="1"/>
    <col min="14879" max="14879" width="15.7109375" customWidth="1"/>
    <col min="14880" max="14881" width="6.42578125" customWidth="1"/>
    <col min="14882" max="14882" width="24.5703125" customWidth="1"/>
    <col min="14883" max="14883" width="34.7109375" customWidth="1"/>
    <col min="14884" max="14884" width="16.42578125" customWidth="1"/>
    <col min="14885" max="14885" width="16" bestFit="1" customWidth="1"/>
    <col min="14886" max="14886" width="29.140625" customWidth="1"/>
    <col min="14887" max="14887" width="15.7109375" customWidth="1"/>
    <col min="14888" max="14889" width="6.42578125" customWidth="1"/>
    <col min="14890" max="14890" width="24.5703125" customWidth="1"/>
    <col min="14891" max="14891" width="34.7109375" customWidth="1"/>
    <col min="14892" max="14892" width="16.42578125" customWidth="1"/>
    <col min="14893" max="14893" width="16" bestFit="1" customWidth="1"/>
    <col min="14894" max="14894" width="29.140625" customWidth="1"/>
    <col min="14895" max="14895" width="15.7109375" customWidth="1"/>
    <col min="14896" max="14897" width="6.42578125" customWidth="1"/>
    <col min="14898" max="14898" width="24.5703125" customWidth="1"/>
    <col min="14899" max="14899" width="34.7109375" customWidth="1"/>
    <col min="14900" max="14900" width="16.42578125" customWidth="1"/>
    <col min="14901" max="14901" width="16" bestFit="1" customWidth="1"/>
    <col min="14902" max="14902" width="29.140625" customWidth="1"/>
    <col min="14903" max="14903" width="15.7109375" customWidth="1"/>
    <col min="14904" max="14905" width="6.42578125" customWidth="1"/>
    <col min="14906" max="14906" width="24.5703125" customWidth="1"/>
    <col min="14907" max="14907" width="34.7109375" customWidth="1"/>
    <col min="14908" max="14908" width="16.42578125" customWidth="1"/>
    <col min="14909" max="14909" width="16" bestFit="1" customWidth="1"/>
    <col min="14910" max="14910" width="29.140625" customWidth="1"/>
    <col min="14911" max="14911" width="15.7109375" customWidth="1"/>
    <col min="14912" max="14913" width="6.42578125" customWidth="1"/>
    <col min="14914" max="14914" width="24.5703125" customWidth="1"/>
    <col min="14915" max="14915" width="34.7109375" customWidth="1"/>
    <col min="14916" max="14916" width="16.42578125" customWidth="1"/>
    <col min="14917" max="14917" width="16" bestFit="1" customWidth="1"/>
    <col min="14918" max="14918" width="29.140625" customWidth="1"/>
    <col min="14919" max="14919" width="15.7109375" customWidth="1"/>
    <col min="14920" max="14921" width="6.42578125" customWidth="1"/>
    <col min="14922" max="14922" width="24.5703125" customWidth="1"/>
    <col min="14923" max="14923" width="34.7109375" customWidth="1"/>
    <col min="14924" max="14924" width="16.42578125" customWidth="1"/>
    <col min="14925" max="14925" width="16" bestFit="1" customWidth="1"/>
    <col min="14926" max="14926" width="29.140625" customWidth="1"/>
    <col min="14927" max="14927" width="15.7109375" customWidth="1"/>
    <col min="14928" max="14929" width="6.42578125" customWidth="1"/>
    <col min="14930" max="14930" width="24.5703125" customWidth="1"/>
    <col min="14931" max="14931" width="34.7109375" customWidth="1"/>
    <col min="14932" max="14932" width="16.42578125" customWidth="1"/>
    <col min="14933" max="14933" width="16" bestFit="1" customWidth="1"/>
    <col min="14934" max="14934" width="29.140625" customWidth="1"/>
    <col min="14935" max="14935" width="15.7109375" customWidth="1"/>
    <col min="14936" max="14937" width="6.42578125" customWidth="1"/>
    <col min="14938" max="14938" width="24.5703125" customWidth="1"/>
    <col min="14939" max="14939" width="34.7109375" customWidth="1"/>
    <col min="14940" max="14940" width="16.42578125" customWidth="1"/>
    <col min="14941" max="14941" width="16" bestFit="1" customWidth="1"/>
    <col min="14942" max="14942" width="29.140625" customWidth="1"/>
    <col min="14943" max="14943" width="15.7109375" customWidth="1"/>
    <col min="14944" max="14945" width="6.42578125" customWidth="1"/>
    <col min="14946" max="14946" width="24.5703125" customWidth="1"/>
    <col min="14947" max="14947" width="34.7109375" customWidth="1"/>
    <col min="14948" max="14948" width="16.42578125" customWidth="1"/>
    <col min="14949" max="14949" width="16" bestFit="1" customWidth="1"/>
    <col min="14950" max="14950" width="29.140625" customWidth="1"/>
    <col min="14951" max="14951" width="15.7109375" customWidth="1"/>
    <col min="14952" max="14953" width="6.42578125" customWidth="1"/>
    <col min="14954" max="14954" width="24.5703125" customWidth="1"/>
    <col min="14955" max="14955" width="34.7109375" customWidth="1"/>
    <col min="14956" max="14956" width="16.42578125" customWidth="1"/>
    <col min="14957" max="14957" width="16" bestFit="1" customWidth="1"/>
    <col min="14958" max="14958" width="29.140625" customWidth="1"/>
    <col min="14959" max="14959" width="15.7109375" customWidth="1"/>
    <col min="14960" max="14961" width="6.42578125" customWidth="1"/>
    <col min="14962" max="14962" width="24.5703125" customWidth="1"/>
    <col min="14963" max="14963" width="34.7109375" customWidth="1"/>
    <col min="14964" max="14964" width="16.42578125" customWidth="1"/>
    <col min="14965" max="14965" width="16" bestFit="1" customWidth="1"/>
    <col min="14966" max="14966" width="29.140625" customWidth="1"/>
    <col min="14967" max="14967" width="15.7109375" customWidth="1"/>
    <col min="14968" max="14969" width="6.42578125" customWidth="1"/>
    <col min="14970" max="14970" width="24.5703125" customWidth="1"/>
    <col min="14971" max="14971" width="34.7109375" customWidth="1"/>
    <col min="14972" max="14972" width="16.42578125" customWidth="1"/>
    <col min="14973" max="14973" width="16" bestFit="1" customWidth="1"/>
    <col min="14974" max="14974" width="29.140625" customWidth="1"/>
    <col min="14975" max="14975" width="15.7109375" customWidth="1"/>
    <col min="14976" max="14977" width="6.42578125" customWidth="1"/>
    <col min="14978" max="14978" width="24.5703125" customWidth="1"/>
    <col min="14979" max="14979" width="34.7109375" customWidth="1"/>
    <col min="14980" max="14980" width="16.42578125" customWidth="1"/>
    <col min="14981" max="14981" width="16" bestFit="1" customWidth="1"/>
    <col min="14982" max="14982" width="29.140625" customWidth="1"/>
    <col min="14983" max="14983" width="15.7109375" customWidth="1"/>
    <col min="14984" max="14985" width="6.42578125" customWidth="1"/>
    <col min="14986" max="14986" width="24.5703125" customWidth="1"/>
    <col min="14987" max="14987" width="34.7109375" customWidth="1"/>
    <col min="14988" max="14988" width="16.42578125" customWidth="1"/>
    <col min="14989" max="14989" width="16" bestFit="1" customWidth="1"/>
    <col min="14990" max="14990" width="29.140625" customWidth="1"/>
    <col min="14991" max="14991" width="15.7109375" customWidth="1"/>
    <col min="14992" max="14993" width="6.42578125" customWidth="1"/>
    <col min="14994" max="14994" width="24.5703125" customWidth="1"/>
    <col min="14995" max="14995" width="34.7109375" customWidth="1"/>
    <col min="14996" max="14996" width="16.42578125" customWidth="1"/>
    <col min="14997" max="14997" width="16" bestFit="1" customWidth="1"/>
    <col min="14998" max="14998" width="29.140625" customWidth="1"/>
    <col min="14999" max="14999" width="15.7109375" customWidth="1"/>
    <col min="15000" max="15001" width="6.42578125" customWidth="1"/>
    <col min="15002" max="15002" width="24.5703125" customWidth="1"/>
    <col min="15003" max="15003" width="34.7109375" customWidth="1"/>
    <col min="15004" max="15004" width="16.42578125" customWidth="1"/>
    <col min="15005" max="15005" width="16" bestFit="1" customWidth="1"/>
    <col min="15006" max="15006" width="29.140625" customWidth="1"/>
    <col min="15007" max="15007" width="15.7109375" customWidth="1"/>
    <col min="15008" max="15009" width="6.42578125" customWidth="1"/>
    <col min="15010" max="15010" width="24.5703125" customWidth="1"/>
    <col min="15011" max="15011" width="34.7109375" customWidth="1"/>
    <col min="15012" max="15012" width="16.42578125" customWidth="1"/>
    <col min="15013" max="15013" width="16" bestFit="1" customWidth="1"/>
    <col min="15014" max="15014" width="29.140625" customWidth="1"/>
    <col min="15015" max="15015" width="15.7109375" customWidth="1"/>
    <col min="15016" max="15017" width="6.42578125" customWidth="1"/>
    <col min="15018" max="15018" width="24.5703125" customWidth="1"/>
    <col min="15019" max="15019" width="34.7109375" customWidth="1"/>
    <col min="15020" max="15020" width="16.42578125" customWidth="1"/>
    <col min="15021" max="15021" width="16" bestFit="1" customWidth="1"/>
    <col min="15022" max="15022" width="29.140625" customWidth="1"/>
    <col min="15023" max="15023" width="15.7109375" customWidth="1"/>
    <col min="15024" max="15025" width="6.42578125" customWidth="1"/>
    <col min="15026" max="15026" width="24.5703125" customWidth="1"/>
    <col min="15027" max="15027" width="34.7109375" customWidth="1"/>
    <col min="15028" max="15028" width="16.42578125" customWidth="1"/>
    <col min="15029" max="15029" width="16" bestFit="1" customWidth="1"/>
    <col min="15030" max="15030" width="29.140625" customWidth="1"/>
    <col min="15031" max="15031" width="15.7109375" customWidth="1"/>
    <col min="15032" max="15033" width="6.42578125" customWidth="1"/>
    <col min="15034" max="15034" width="24.5703125" customWidth="1"/>
    <col min="15035" max="15035" width="34.7109375" customWidth="1"/>
    <col min="15036" max="15036" width="16.42578125" customWidth="1"/>
    <col min="15037" max="15037" width="16" bestFit="1" customWidth="1"/>
    <col min="15038" max="15038" width="29.140625" customWidth="1"/>
    <col min="15039" max="15039" width="15.7109375" customWidth="1"/>
    <col min="15040" max="15041" width="6.42578125" customWidth="1"/>
    <col min="15042" max="15042" width="24.5703125" customWidth="1"/>
    <col min="15043" max="15043" width="34.7109375" customWidth="1"/>
    <col min="15044" max="15044" width="16.42578125" customWidth="1"/>
    <col min="15045" max="15045" width="16" bestFit="1" customWidth="1"/>
    <col min="15046" max="15046" width="29.140625" customWidth="1"/>
    <col min="15047" max="15047" width="15.7109375" customWidth="1"/>
    <col min="15048" max="15049" width="6.42578125" customWidth="1"/>
    <col min="15050" max="15050" width="24.5703125" customWidth="1"/>
    <col min="15051" max="15051" width="34.7109375" customWidth="1"/>
    <col min="15052" max="15052" width="16.42578125" customWidth="1"/>
    <col min="15053" max="15053" width="16" bestFit="1" customWidth="1"/>
    <col min="15054" max="15054" width="29.140625" customWidth="1"/>
    <col min="15055" max="15055" width="15.7109375" customWidth="1"/>
    <col min="15056" max="15057" width="6.42578125" customWidth="1"/>
    <col min="15058" max="15058" width="24.5703125" customWidth="1"/>
    <col min="15059" max="15059" width="34.7109375" customWidth="1"/>
    <col min="15060" max="15060" width="16.42578125" customWidth="1"/>
    <col min="15061" max="15061" width="16" bestFit="1" customWidth="1"/>
    <col min="15062" max="15062" width="29.140625" customWidth="1"/>
    <col min="15063" max="15063" width="15.7109375" customWidth="1"/>
    <col min="15064" max="15065" width="6.42578125" customWidth="1"/>
    <col min="15066" max="15066" width="24.5703125" customWidth="1"/>
    <col min="15067" max="15067" width="34.7109375" customWidth="1"/>
    <col min="15068" max="15068" width="16.42578125" customWidth="1"/>
    <col min="15069" max="15069" width="16" bestFit="1" customWidth="1"/>
    <col min="15070" max="15070" width="29.140625" customWidth="1"/>
    <col min="15071" max="15071" width="15.7109375" customWidth="1"/>
    <col min="15072" max="15073" width="6.42578125" customWidth="1"/>
    <col min="15074" max="15074" width="24.5703125" customWidth="1"/>
    <col min="15075" max="15075" width="34.7109375" customWidth="1"/>
    <col min="15076" max="15076" width="16.42578125" customWidth="1"/>
    <col min="15077" max="15077" width="16" bestFit="1" customWidth="1"/>
    <col min="15078" max="15078" width="29.140625" customWidth="1"/>
    <col min="15079" max="15079" width="15.7109375" customWidth="1"/>
    <col min="15080" max="15081" width="6.42578125" customWidth="1"/>
    <col min="15082" max="15082" width="24.5703125" customWidth="1"/>
    <col min="15083" max="15083" width="34.7109375" customWidth="1"/>
    <col min="15084" max="15084" width="16.42578125" customWidth="1"/>
    <col min="15085" max="15085" width="16" bestFit="1" customWidth="1"/>
    <col min="15086" max="15086" width="29.140625" customWidth="1"/>
    <col min="15087" max="15087" width="15.7109375" customWidth="1"/>
    <col min="15088" max="15089" width="6.42578125" customWidth="1"/>
    <col min="15090" max="15090" width="24.5703125" customWidth="1"/>
    <col min="15091" max="15091" width="34.7109375" customWidth="1"/>
    <col min="15092" max="15092" width="16.42578125" customWidth="1"/>
    <col min="15093" max="15093" width="16" bestFit="1" customWidth="1"/>
    <col min="15094" max="15094" width="29.140625" customWidth="1"/>
    <col min="15095" max="15095" width="15.7109375" customWidth="1"/>
    <col min="15096" max="15097" width="6.42578125" customWidth="1"/>
    <col min="15098" max="15098" width="24.5703125" customWidth="1"/>
    <col min="15099" max="15099" width="34.7109375" customWidth="1"/>
    <col min="15100" max="15100" width="16.42578125" customWidth="1"/>
    <col min="15101" max="15101" width="16" bestFit="1" customWidth="1"/>
    <col min="15102" max="15102" width="29.140625" customWidth="1"/>
    <col min="15103" max="15103" width="15.7109375" customWidth="1"/>
    <col min="15104" max="15105" width="6.42578125" customWidth="1"/>
    <col min="15106" max="15106" width="24.5703125" customWidth="1"/>
    <col min="15107" max="15107" width="34.7109375" customWidth="1"/>
    <col min="15108" max="15108" width="16.42578125" customWidth="1"/>
    <col min="15109" max="15109" width="16" bestFit="1" customWidth="1"/>
    <col min="15110" max="15110" width="29.140625" customWidth="1"/>
    <col min="15111" max="15111" width="15.7109375" customWidth="1"/>
    <col min="15112" max="15113" width="6.42578125" customWidth="1"/>
    <col min="15114" max="15114" width="24.5703125" customWidth="1"/>
    <col min="15115" max="15115" width="34.7109375" customWidth="1"/>
    <col min="15116" max="15116" width="16.42578125" customWidth="1"/>
    <col min="15117" max="15117" width="16" bestFit="1" customWidth="1"/>
    <col min="15118" max="15118" width="29.140625" customWidth="1"/>
    <col min="15119" max="15119" width="15.7109375" customWidth="1"/>
    <col min="15120" max="15121" width="6.42578125" customWidth="1"/>
    <col min="15122" max="15122" width="24.5703125" customWidth="1"/>
    <col min="15123" max="15123" width="34.7109375" customWidth="1"/>
    <col min="15124" max="15124" width="16.42578125" customWidth="1"/>
    <col min="15125" max="15125" width="16" bestFit="1" customWidth="1"/>
    <col min="15126" max="15126" width="29.140625" customWidth="1"/>
    <col min="15127" max="15127" width="15.7109375" customWidth="1"/>
    <col min="15128" max="15129" width="6.42578125" customWidth="1"/>
    <col min="15130" max="15130" width="24.5703125" customWidth="1"/>
    <col min="15131" max="15131" width="34.7109375" customWidth="1"/>
    <col min="15132" max="15132" width="16.42578125" customWidth="1"/>
    <col min="15133" max="15133" width="16" bestFit="1" customWidth="1"/>
    <col min="15134" max="15134" width="29.140625" customWidth="1"/>
    <col min="15135" max="15135" width="15.7109375" customWidth="1"/>
    <col min="15136" max="15137" width="6.42578125" customWidth="1"/>
    <col min="15138" max="15138" width="24.5703125" customWidth="1"/>
    <col min="15139" max="15139" width="34.7109375" customWidth="1"/>
    <col min="15140" max="15140" width="16.42578125" customWidth="1"/>
    <col min="15141" max="15141" width="16" bestFit="1" customWidth="1"/>
    <col min="15142" max="15142" width="29.140625" customWidth="1"/>
    <col min="15143" max="15143" width="15.7109375" customWidth="1"/>
    <col min="15144" max="15145" width="6.42578125" customWidth="1"/>
    <col min="15146" max="15146" width="24.5703125" customWidth="1"/>
    <col min="15147" max="15147" width="34.7109375" customWidth="1"/>
    <col min="15148" max="15148" width="16.42578125" customWidth="1"/>
    <col min="15149" max="15149" width="16" bestFit="1" customWidth="1"/>
    <col min="15150" max="15150" width="29.140625" customWidth="1"/>
    <col min="15151" max="15151" width="15.7109375" customWidth="1"/>
    <col min="15152" max="15153" width="6.42578125" customWidth="1"/>
    <col min="15154" max="15154" width="24.5703125" customWidth="1"/>
    <col min="15155" max="15155" width="34.7109375" customWidth="1"/>
    <col min="15156" max="15156" width="16.42578125" customWidth="1"/>
    <col min="15157" max="15157" width="16" bestFit="1" customWidth="1"/>
    <col min="15158" max="15158" width="29.140625" customWidth="1"/>
    <col min="15159" max="15159" width="15.7109375" customWidth="1"/>
    <col min="15160" max="15161" width="6.42578125" customWidth="1"/>
    <col min="15162" max="15162" width="24.5703125" customWidth="1"/>
    <col min="15163" max="15163" width="34.7109375" customWidth="1"/>
    <col min="15164" max="15164" width="16.42578125" customWidth="1"/>
    <col min="15165" max="15165" width="16" bestFit="1" customWidth="1"/>
    <col min="15166" max="15166" width="29.140625" customWidth="1"/>
    <col min="15167" max="15167" width="15.7109375" customWidth="1"/>
    <col min="15168" max="15169" width="6.42578125" customWidth="1"/>
    <col min="15170" max="15170" width="24.5703125" customWidth="1"/>
    <col min="15171" max="15171" width="34.7109375" customWidth="1"/>
    <col min="15172" max="15172" width="16.42578125" customWidth="1"/>
    <col min="15173" max="15173" width="16" bestFit="1" customWidth="1"/>
    <col min="15174" max="15174" width="29.140625" customWidth="1"/>
    <col min="15175" max="15175" width="15.7109375" customWidth="1"/>
    <col min="15176" max="15177" width="6.42578125" customWidth="1"/>
    <col min="15178" max="15178" width="24.5703125" customWidth="1"/>
    <col min="15179" max="15179" width="34.7109375" customWidth="1"/>
    <col min="15180" max="15180" width="16.42578125" customWidth="1"/>
    <col min="15181" max="15181" width="16" bestFit="1" customWidth="1"/>
    <col min="15182" max="15182" width="29.140625" customWidth="1"/>
    <col min="15183" max="15183" width="15.7109375" customWidth="1"/>
    <col min="15184" max="15185" width="6.42578125" customWidth="1"/>
    <col min="15186" max="15186" width="24.5703125" customWidth="1"/>
    <col min="15187" max="15187" width="34.7109375" customWidth="1"/>
    <col min="15188" max="15188" width="16.42578125" customWidth="1"/>
    <col min="15189" max="15189" width="16" bestFit="1" customWidth="1"/>
    <col min="15190" max="15190" width="29.140625" customWidth="1"/>
    <col min="15191" max="15191" width="15.7109375" customWidth="1"/>
    <col min="15192" max="15193" width="6.42578125" customWidth="1"/>
    <col min="15194" max="15194" width="24.5703125" customWidth="1"/>
    <col min="15195" max="15195" width="34.7109375" customWidth="1"/>
    <col min="15196" max="15196" width="16.42578125" customWidth="1"/>
    <col min="15197" max="15197" width="16" bestFit="1" customWidth="1"/>
    <col min="15198" max="15198" width="29.140625" customWidth="1"/>
    <col min="15199" max="15199" width="15.7109375" customWidth="1"/>
    <col min="15200" max="15201" width="6.42578125" customWidth="1"/>
    <col min="15202" max="15202" width="24.5703125" customWidth="1"/>
    <col min="15203" max="15203" width="34.7109375" customWidth="1"/>
    <col min="15204" max="15204" width="16.42578125" customWidth="1"/>
    <col min="15205" max="15205" width="16" bestFit="1" customWidth="1"/>
    <col min="15206" max="15206" width="29.140625" customWidth="1"/>
    <col min="15207" max="15207" width="15.7109375" customWidth="1"/>
    <col min="15208" max="15209" width="6.42578125" customWidth="1"/>
    <col min="15210" max="15210" width="24.5703125" customWidth="1"/>
    <col min="15211" max="15211" width="34.7109375" customWidth="1"/>
    <col min="15212" max="15212" width="16.42578125" customWidth="1"/>
    <col min="15213" max="15213" width="16" bestFit="1" customWidth="1"/>
    <col min="15214" max="15214" width="29.140625" customWidth="1"/>
    <col min="15215" max="15215" width="15.7109375" customWidth="1"/>
    <col min="15216" max="15217" width="6.42578125" customWidth="1"/>
    <col min="15218" max="15218" width="24.5703125" customWidth="1"/>
    <col min="15219" max="15219" width="34.7109375" customWidth="1"/>
    <col min="15220" max="15220" width="16.42578125" customWidth="1"/>
    <col min="15221" max="15221" width="16" bestFit="1" customWidth="1"/>
    <col min="15222" max="15222" width="29.140625" customWidth="1"/>
    <col min="15223" max="15223" width="15.7109375" customWidth="1"/>
    <col min="15224" max="15225" width="6.42578125" customWidth="1"/>
    <col min="15226" max="15226" width="24.5703125" customWidth="1"/>
    <col min="15227" max="15227" width="34.7109375" customWidth="1"/>
    <col min="15228" max="15228" width="16.42578125" customWidth="1"/>
    <col min="15229" max="15229" width="16" bestFit="1" customWidth="1"/>
    <col min="15230" max="15230" width="29.140625" customWidth="1"/>
    <col min="15231" max="15231" width="15.7109375" customWidth="1"/>
    <col min="15232" max="15233" width="6.42578125" customWidth="1"/>
    <col min="15234" max="15234" width="24.5703125" customWidth="1"/>
    <col min="15235" max="15235" width="34.7109375" customWidth="1"/>
    <col min="15236" max="15236" width="16.42578125" customWidth="1"/>
    <col min="15237" max="15237" width="16" bestFit="1" customWidth="1"/>
    <col min="15238" max="15238" width="29.140625" customWidth="1"/>
    <col min="15239" max="15239" width="15.7109375" customWidth="1"/>
    <col min="15240" max="15241" width="6.42578125" customWidth="1"/>
    <col min="15242" max="15242" width="24.5703125" customWidth="1"/>
    <col min="15243" max="15243" width="34.7109375" customWidth="1"/>
    <col min="15244" max="15244" width="16.42578125" customWidth="1"/>
    <col min="15245" max="15245" width="16" bestFit="1" customWidth="1"/>
    <col min="15246" max="15246" width="29.140625" customWidth="1"/>
    <col min="15247" max="15247" width="15.7109375" customWidth="1"/>
    <col min="15248" max="15249" width="6.42578125" customWidth="1"/>
    <col min="15250" max="15250" width="24.5703125" customWidth="1"/>
    <col min="15251" max="15251" width="34.7109375" customWidth="1"/>
    <col min="15252" max="15252" width="16.42578125" customWidth="1"/>
    <col min="15253" max="15253" width="16" bestFit="1" customWidth="1"/>
    <col min="15254" max="15254" width="29.140625" customWidth="1"/>
    <col min="15255" max="15255" width="15.7109375" customWidth="1"/>
    <col min="15256" max="15257" width="6.42578125" customWidth="1"/>
    <col min="15258" max="15258" width="24.5703125" customWidth="1"/>
    <col min="15259" max="15259" width="34.7109375" customWidth="1"/>
    <col min="15260" max="15260" width="16.42578125" customWidth="1"/>
    <col min="15261" max="15261" width="16" bestFit="1" customWidth="1"/>
    <col min="15262" max="15262" width="29.140625" customWidth="1"/>
    <col min="15263" max="15263" width="15.7109375" customWidth="1"/>
    <col min="15264" max="15265" width="6.42578125" customWidth="1"/>
    <col min="15266" max="15266" width="24.5703125" customWidth="1"/>
    <col min="15267" max="15267" width="34.7109375" customWidth="1"/>
    <col min="15268" max="15268" width="16.42578125" customWidth="1"/>
    <col min="15269" max="15269" width="16" bestFit="1" customWidth="1"/>
    <col min="15270" max="15270" width="29.140625" customWidth="1"/>
    <col min="15271" max="15271" width="15.7109375" customWidth="1"/>
    <col min="15272" max="15273" width="6.42578125" customWidth="1"/>
    <col min="15274" max="15274" width="24.5703125" customWidth="1"/>
    <col min="15275" max="15275" width="34.7109375" customWidth="1"/>
    <col min="15276" max="15276" width="16.42578125" customWidth="1"/>
    <col min="15277" max="15277" width="16" bestFit="1" customWidth="1"/>
    <col min="15278" max="15278" width="29.140625" customWidth="1"/>
    <col min="15279" max="15279" width="15.7109375" customWidth="1"/>
    <col min="15280" max="15281" width="6.42578125" customWidth="1"/>
    <col min="15282" max="15282" width="24.5703125" customWidth="1"/>
    <col min="15283" max="15283" width="34.7109375" customWidth="1"/>
    <col min="15284" max="15284" width="16.42578125" customWidth="1"/>
    <col min="15285" max="15285" width="16" bestFit="1" customWidth="1"/>
    <col min="15286" max="15286" width="29.140625" customWidth="1"/>
    <col min="15287" max="15287" width="15.7109375" customWidth="1"/>
    <col min="15288" max="15289" width="6.42578125" customWidth="1"/>
    <col min="15290" max="15290" width="24.5703125" customWidth="1"/>
    <col min="15291" max="15291" width="34.7109375" customWidth="1"/>
    <col min="15292" max="15292" width="16.42578125" customWidth="1"/>
    <col min="15293" max="15293" width="16" bestFit="1" customWidth="1"/>
    <col min="15294" max="15294" width="29.140625" customWidth="1"/>
    <col min="15295" max="15295" width="15.7109375" customWidth="1"/>
    <col min="15296" max="15297" width="6.42578125" customWidth="1"/>
    <col min="15298" max="15298" width="24.5703125" customWidth="1"/>
    <col min="15299" max="15299" width="34.7109375" customWidth="1"/>
    <col min="15300" max="15300" width="16.42578125" customWidth="1"/>
    <col min="15301" max="15301" width="16" bestFit="1" customWidth="1"/>
    <col min="15302" max="15302" width="29.140625" customWidth="1"/>
    <col min="15303" max="15303" width="15.7109375" customWidth="1"/>
    <col min="15304" max="15305" width="6.42578125" customWidth="1"/>
    <col min="15306" max="15306" width="24.5703125" customWidth="1"/>
    <col min="15307" max="15307" width="34.7109375" customWidth="1"/>
    <col min="15308" max="15308" width="16.42578125" customWidth="1"/>
    <col min="15309" max="15309" width="16" bestFit="1" customWidth="1"/>
    <col min="15310" max="15310" width="29.140625" customWidth="1"/>
    <col min="15311" max="15311" width="15.7109375" customWidth="1"/>
    <col min="15312" max="15313" width="6.42578125" customWidth="1"/>
    <col min="15314" max="15314" width="24.5703125" customWidth="1"/>
    <col min="15315" max="15315" width="34.7109375" customWidth="1"/>
    <col min="15316" max="15316" width="16.42578125" customWidth="1"/>
    <col min="15317" max="15317" width="16" bestFit="1" customWidth="1"/>
    <col min="15318" max="15318" width="29.140625" customWidth="1"/>
    <col min="15319" max="15319" width="15.7109375" customWidth="1"/>
    <col min="15320" max="15321" width="6.42578125" customWidth="1"/>
    <col min="15322" max="15322" width="24.5703125" customWidth="1"/>
    <col min="15323" max="15323" width="34.7109375" customWidth="1"/>
    <col min="15324" max="15324" width="16.42578125" customWidth="1"/>
    <col min="15325" max="15325" width="16" bestFit="1" customWidth="1"/>
    <col min="15326" max="15326" width="29.140625" customWidth="1"/>
    <col min="15327" max="15327" width="15.7109375" customWidth="1"/>
    <col min="15328" max="15329" width="6.42578125" customWidth="1"/>
    <col min="15330" max="15330" width="24.5703125" customWidth="1"/>
    <col min="15331" max="15331" width="34.7109375" customWidth="1"/>
    <col min="15332" max="15332" width="16.42578125" customWidth="1"/>
    <col min="15333" max="15333" width="16" bestFit="1" customWidth="1"/>
    <col min="15334" max="15334" width="29.140625" customWidth="1"/>
    <col min="15335" max="15335" width="15.7109375" customWidth="1"/>
    <col min="15336" max="15337" width="6.42578125" customWidth="1"/>
    <col min="15338" max="15338" width="24.5703125" customWidth="1"/>
    <col min="15339" max="15339" width="34.7109375" customWidth="1"/>
    <col min="15340" max="15340" width="16.42578125" customWidth="1"/>
    <col min="15341" max="15341" width="16" bestFit="1" customWidth="1"/>
    <col min="15342" max="15342" width="29.140625" customWidth="1"/>
    <col min="15343" max="15343" width="15.7109375" customWidth="1"/>
    <col min="15344" max="15345" width="6.42578125" customWidth="1"/>
    <col min="15346" max="15346" width="24.5703125" customWidth="1"/>
    <col min="15347" max="15347" width="34.7109375" customWidth="1"/>
    <col min="15348" max="15348" width="16.42578125" customWidth="1"/>
    <col min="15349" max="15349" width="16" bestFit="1" customWidth="1"/>
    <col min="15350" max="15350" width="29.140625" customWidth="1"/>
    <col min="15351" max="15351" width="15.7109375" customWidth="1"/>
    <col min="15352" max="15353" width="6.42578125" customWidth="1"/>
    <col min="15354" max="15354" width="24.5703125" customWidth="1"/>
    <col min="15355" max="15355" width="34.7109375" customWidth="1"/>
    <col min="15356" max="15356" width="16.42578125" customWidth="1"/>
    <col min="15357" max="15357" width="16" bestFit="1" customWidth="1"/>
    <col min="15358" max="15358" width="29.140625" customWidth="1"/>
    <col min="15359" max="15359" width="15.7109375" customWidth="1"/>
    <col min="15360" max="15361" width="6.42578125" customWidth="1"/>
    <col min="15362" max="15362" width="24.5703125" customWidth="1"/>
    <col min="15363" max="15363" width="34.7109375" customWidth="1"/>
    <col min="15364" max="15364" width="16.42578125" customWidth="1"/>
    <col min="15365" max="15365" width="16" bestFit="1" customWidth="1"/>
    <col min="15366" max="15366" width="29.140625" customWidth="1"/>
    <col min="15367" max="15367" width="15.7109375" customWidth="1"/>
    <col min="15368" max="15369" width="6.42578125" customWidth="1"/>
    <col min="15370" max="15370" width="24.5703125" customWidth="1"/>
    <col min="15371" max="15371" width="34.7109375" customWidth="1"/>
    <col min="15372" max="15372" width="16.42578125" customWidth="1"/>
    <col min="15373" max="15373" width="16" bestFit="1" customWidth="1"/>
    <col min="15374" max="15374" width="29.140625" customWidth="1"/>
    <col min="15375" max="15375" width="15.7109375" customWidth="1"/>
    <col min="15376" max="15377" width="6.42578125" customWidth="1"/>
    <col min="15378" max="15378" width="24.5703125" customWidth="1"/>
    <col min="15379" max="15379" width="34.7109375" customWidth="1"/>
    <col min="15380" max="15380" width="16.42578125" customWidth="1"/>
    <col min="15381" max="15381" width="16" bestFit="1" customWidth="1"/>
    <col min="15382" max="15382" width="29.140625" customWidth="1"/>
    <col min="15383" max="15383" width="15.7109375" customWidth="1"/>
    <col min="15384" max="15385" width="6.42578125" customWidth="1"/>
    <col min="15386" max="15386" width="24.5703125" customWidth="1"/>
    <col min="15387" max="15387" width="34.7109375" customWidth="1"/>
    <col min="15388" max="15388" width="16.42578125" customWidth="1"/>
    <col min="15389" max="15389" width="16" bestFit="1" customWidth="1"/>
    <col min="15390" max="15390" width="29.140625" customWidth="1"/>
    <col min="15391" max="15391" width="15.7109375" customWidth="1"/>
    <col min="15392" max="15393" width="6.42578125" customWidth="1"/>
    <col min="15394" max="15394" width="24.5703125" customWidth="1"/>
    <col min="15395" max="15395" width="34.7109375" customWidth="1"/>
    <col min="15396" max="15396" width="16.42578125" customWidth="1"/>
    <col min="15397" max="15397" width="16" bestFit="1" customWidth="1"/>
    <col min="15398" max="15398" width="29.140625" customWidth="1"/>
    <col min="15399" max="15399" width="15.7109375" customWidth="1"/>
    <col min="15400" max="15401" width="6.42578125" customWidth="1"/>
    <col min="15402" max="15402" width="24.5703125" customWidth="1"/>
    <col min="15403" max="15403" width="34.7109375" customWidth="1"/>
    <col min="15404" max="15404" width="16.42578125" customWidth="1"/>
    <col min="15405" max="15405" width="16" bestFit="1" customWidth="1"/>
    <col min="15406" max="15406" width="29.140625" customWidth="1"/>
    <col min="15407" max="15407" width="15.7109375" customWidth="1"/>
    <col min="15408" max="15409" width="6.42578125" customWidth="1"/>
    <col min="15410" max="15410" width="24.5703125" customWidth="1"/>
    <col min="15411" max="15411" width="34.7109375" customWidth="1"/>
    <col min="15412" max="15412" width="16.42578125" customWidth="1"/>
    <col min="15413" max="15413" width="16" bestFit="1" customWidth="1"/>
    <col min="15414" max="15414" width="29.140625" customWidth="1"/>
    <col min="15415" max="15415" width="15.7109375" customWidth="1"/>
    <col min="15416" max="15417" width="6.42578125" customWidth="1"/>
    <col min="15418" max="15418" width="24.5703125" customWidth="1"/>
    <col min="15419" max="15419" width="34.7109375" customWidth="1"/>
    <col min="15420" max="15420" width="16.42578125" customWidth="1"/>
    <col min="15421" max="15421" width="16" bestFit="1" customWidth="1"/>
    <col min="15422" max="15422" width="29.140625" customWidth="1"/>
    <col min="15423" max="15423" width="15.7109375" customWidth="1"/>
    <col min="15424" max="15425" width="6.42578125" customWidth="1"/>
    <col min="15426" max="15426" width="24.5703125" customWidth="1"/>
    <col min="15427" max="15427" width="34.7109375" customWidth="1"/>
    <col min="15428" max="15428" width="16.42578125" customWidth="1"/>
    <col min="15429" max="15429" width="16" bestFit="1" customWidth="1"/>
    <col min="15430" max="15430" width="29.140625" customWidth="1"/>
    <col min="15431" max="15431" width="15.7109375" customWidth="1"/>
    <col min="15432" max="15433" width="6.42578125" customWidth="1"/>
    <col min="15434" max="15434" width="24.5703125" customWidth="1"/>
    <col min="15435" max="15435" width="34.7109375" customWidth="1"/>
    <col min="15436" max="15436" width="16.42578125" customWidth="1"/>
    <col min="15437" max="15437" width="16" bestFit="1" customWidth="1"/>
    <col min="15438" max="15438" width="29.140625" customWidth="1"/>
    <col min="15439" max="15439" width="15.7109375" customWidth="1"/>
    <col min="15440" max="15441" width="6.42578125" customWidth="1"/>
    <col min="15442" max="15442" width="24.5703125" customWidth="1"/>
    <col min="15443" max="15443" width="34.7109375" customWidth="1"/>
    <col min="15444" max="15444" width="16.42578125" customWidth="1"/>
    <col min="15445" max="15445" width="16" bestFit="1" customWidth="1"/>
    <col min="15446" max="15446" width="29.140625" customWidth="1"/>
    <col min="15447" max="15447" width="15.7109375" customWidth="1"/>
    <col min="15448" max="15449" width="6.42578125" customWidth="1"/>
    <col min="15450" max="15450" width="24.5703125" customWidth="1"/>
    <col min="15451" max="15451" width="34.7109375" customWidth="1"/>
    <col min="15452" max="15452" width="16.42578125" customWidth="1"/>
    <col min="15453" max="15453" width="16" bestFit="1" customWidth="1"/>
    <col min="15454" max="15454" width="29.140625" customWidth="1"/>
    <col min="15455" max="15455" width="15.7109375" customWidth="1"/>
    <col min="15456" max="15457" width="6.42578125" customWidth="1"/>
    <col min="15458" max="15458" width="24.5703125" customWidth="1"/>
    <col min="15459" max="15459" width="34.7109375" customWidth="1"/>
    <col min="15460" max="15460" width="16.42578125" customWidth="1"/>
    <col min="15461" max="15461" width="16" bestFit="1" customWidth="1"/>
    <col min="15462" max="15462" width="29.140625" customWidth="1"/>
    <col min="15463" max="15463" width="15.7109375" customWidth="1"/>
    <col min="15464" max="15465" width="6.42578125" customWidth="1"/>
    <col min="15466" max="15466" width="24.5703125" customWidth="1"/>
    <col min="15467" max="15467" width="34.7109375" customWidth="1"/>
    <col min="15468" max="15468" width="16.42578125" customWidth="1"/>
    <col min="15469" max="15469" width="16" bestFit="1" customWidth="1"/>
    <col min="15470" max="15470" width="29.140625" customWidth="1"/>
    <col min="15471" max="15471" width="15.7109375" customWidth="1"/>
    <col min="15472" max="15473" width="6.42578125" customWidth="1"/>
    <col min="15474" max="15474" width="24.5703125" customWidth="1"/>
    <col min="15475" max="15475" width="34.7109375" customWidth="1"/>
    <col min="15476" max="15476" width="16.42578125" customWidth="1"/>
    <col min="15477" max="15477" width="16" bestFit="1" customWidth="1"/>
    <col min="15478" max="15478" width="29.140625" customWidth="1"/>
    <col min="15479" max="15479" width="15.7109375" customWidth="1"/>
    <col min="15480" max="15481" width="6.42578125" customWidth="1"/>
    <col min="15482" max="15482" width="24.5703125" customWidth="1"/>
    <col min="15483" max="15483" width="34.7109375" customWidth="1"/>
    <col min="15484" max="15484" width="16.42578125" customWidth="1"/>
    <col min="15485" max="15485" width="16" bestFit="1" customWidth="1"/>
    <col min="15486" max="15486" width="29.140625" customWidth="1"/>
    <col min="15487" max="15487" width="15.7109375" customWidth="1"/>
    <col min="15488" max="15489" width="6.42578125" customWidth="1"/>
    <col min="15490" max="15490" width="24.5703125" customWidth="1"/>
    <col min="15491" max="15491" width="34.7109375" customWidth="1"/>
    <col min="15492" max="15492" width="16.42578125" customWidth="1"/>
    <col min="15493" max="15493" width="16" bestFit="1" customWidth="1"/>
    <col min="15494" max="15494" width="29.140625" customWidth="1"/>
    <col min="15495" max="15495" width="15.7109375" customWidth="1"/>
    <col min="15496" max="15497" width="6.42578125" customWidth="1"/>
    <col min="15498" max="15498" width="24.5703125" customWidth="1"/>
    <col min="15499" max="15499" width="34.7109375" customWidth="1"/>
    <col min="15500" max="15500" width="16.42578125" customWidth="1"/>
    <col min="15501" max="15501" width="16" bestFit="1" customWidth="1"/>
    <col min="15502" max="15502" width="29.140625" customWidth="1"/>
    <col min="15503" max="15503" width="15.7109375" customWidth="1"/>
    <col min="15504" max="15505" width="6.42578125" customWidth="1"/>
    <col min="15506" max="15506" width="24.5703125" customWidth="1"/>
    <col min="15507" max="15507" width="34.7109375" customWidth="1"/>
    <col min="15508" max="15508" width="16.42578125" customWidth="1"/>
    <col min="15509" max="15509" width="16" bestFit="1" customWidth="1"/>
    <col min="15510" max="15510" width="29.140625" customWidth="1"/>
    <col min="15511" max="15511" width="15.7109375" customWidth="1"/>
    <col min="15512" max="15513" width="6.42578125" customWidth="1"/>
    <col min="15514" max="15514" width="24.5703125" customWidth="1"/>
    <col min="15515" max="15515" width="34.7109375" customWidth="1"/>
    <col min="15516" max="15516" width="16.42578125" customWidth="1"/>
    <col min="15517" max="15517" width="16" bestFit="1" customWidth="1"/>
    <col min="15518" max="15518" width="29.140625" customWidth="1"/>
    <col min="15519" max="15519" width="15.7109375" customWidth="1"/>
    <col min="15520" max="15521" width="6.42578125" customWidth="1"/>
    <col min="15522" max="15522" width="24.5703125" customWidth="1"/>
    <col min="15523" max="15523" width="34.7109375" customWidth="1"/>
    <col min="15524" max="15524" width="16.42578125" customWidth="1"/>
    <col min="15525" max="15525" width="16" bestFit="1" customWidth="1"/>
    <col min="15526" max="15526" width="29.140625" customWidth="1"/>
    <col min="15527" max="15527" width="15.7109375" customWidth="1"/>
    <col min="15528" max="15529" width="6.42578125" customWidth="1"/>
    <col min="15530" max="15530" width="24.5703125" customWidth="1"/>
    <col min="15531" max="15531" width="34.7109375" customWidth="1"/>
    <col min="15532" max="15532" width="16.42578125" customWidth="1"/>
    <col min="15533" max="15533" width="16" bestFit="1" customWidth="1"/>
    <col min="15534" max="15534" width="29.140625" customWidth="1"/>
    <col min="15535" max="15535" width="15.7109375" customWidth="1"/>
    <col min="15536" max="15537" width="6.42578125" customWidth="1"/>
    <col min="15538" max="15538" width="24.5703125" customWidth="1"/>
    <col min="15539" max="15539" width="34.7109375" customWidth="1"/>
    <col min="15540" max="15540" width="16.42578125" customWidth="1"/>
    <col min="15541" max="15541" width="16" bestFit="1" customWidth="1"/>
    <col min="15542" max="15542" width="29.140625" customWidth="1"/>
    <col min="15543" max="15543" width="15.7109375" customWidth="1"/>
    <col min="15544" max="15545" width="6.42578125" customWidth="1"/>
    <col min="15546" max="15546" width="24.5703125" customWidth="1"/>
    <col min="15547" max="15547" width="34.7109375" customWidth="1"/>
    <col min="15548" max="15548" width="16.42578125" customWidth="1"/>
    <col min="15549" max="15549" width="16" bestFit="1" customWidth="1"/>
    <col min="15550" max="15550" width="29.140625" customWidth="1"/>
    <col min="15551" max="15551" width="15.7109375" customWidth="1"/>
    <col min="15552" max="15553" width="6.42578125" customWidth="1"/>
    <col min="15554" max="15554" width="24.5703125" customWidth="1"/>
    <col min="15555" max="15555" width="34.7109375" customWidth="1"/>
    <col min="15556" max="15556" width="16.42578125" customWidth="1"/>
    <col min="15557" max="15557" width="16" bestFit="1" customWidth="1"/>
    <col min="15558" max="15558" width="29.140625" customWidth="1"/>
    <col min="15559" max="15559" width="15.7109375" customWidth="1"/>
    <col min="15560" max="15561" width="6.42578125" customWidth="1"/>
    <col min="15562" max="15562" width="24.5703125" customWidth="1"/>
    <col min="15563" max="15563" width="34.7109375" customWidth="1"/>
    <col min="15564" max="15564" width="16.42578125" customWidth="1"/>
    <col min="15565" max="15565" width="16" bestFit="1" customWidth="1"/>
    <col min="15566" max="15566" width="29.140625" customWidth="1"/>
    <col min="15567" max="15567" width="15.7109375" customWidth="1"/>
    <col min="15568" max="15569" width="6.42578125" customWidth="1"/>
    <col min="15570" max="15570" width="24.5703125" customWidth="1"/>
    <col min="15571" max="15571" width="34.7109375" customWidth="1"/>
    <col min="15572" max="15572" width="16.42578125" customWidth="1"/>
    <col min="15573" max="15573" width="16" bestFit="1" customWidth="1"/>
    <col min="15574" max="15574" width="29.140625" customWidth="1"/>
    <col min="15575" max="15575" width="15.7109375" customWidth="1"/>
    <col min="15576" max="15577" width="6.42578125" customWidth="1"/>
    <col min="15578" max="15578" width="24.5703125" customWidth="1"/>
    <col min="15579" max="15579" width="34.7109375" customWidth="1"/>
    <col min="15580" max="15580" width="16.42578125" customWidth="1"/>
    <col min="15581" max="15581" width="16" bestFit="1" customWidth="1"/>
    <col min="15582" max="15582" width="29.140625" customWidth="1"/>
    <col min="15583" max="15583" width="15.7109375" customWidth="1"/>
    <col min="15584" max="15585" width="6.42578125" customWidth="1"/>
    <col min="15586" max="15586" width="24.5703125" customWidth="1"/>
    <col min="15587" max="15587" width="34.7109375" customWidth="1"/>
    <col min="15588" max="15588" width="16.42578125" customWidth="1"/>
    <col min="15589" max="15589" width="16" bestFit="1" customWidth="1"/>
    <col min="15590" max="15590" width="29.140625" customWidth="1"/>
    <col min="15591" max="15591" width="15.7109375" customWidth="1"/>
    <col min="15592" max="15593" width="6.42578125" customWidth="1"/>
    <col min="15594" max="15594" width="24.5703125" customWidth="1"/>
    <col min="15595" max="15595" width="34.7109375" customWidth="1"/>
    <col min="15596" max="15596" width="16.42578125" customWidth="1"/>
    <col min="15597" max="15597" width="16" bestFit="1" customWidth="1"/>
    <col min="15598" max="15598" width="29.140625" customWidth="1"/>
    <col min="15599" max="15599" width="15.7109375" customWidth="1"/>
    <col min="15600" max="15601" width="6.42578125" customWidth="1"/>
    <col min="15602" max="15602" width="24.5703125" customWidth="1"/>
    <col min="15603" max="15603" width="34.7109375" customWidth="1"/>
    <col min="15604" max="15604" width="16.42578125" customWidth="1"/>
    <col min="15605" max="15605" width="16" bestFit="1" customWidth="1"/>
    <col min="15606" max="15606" width="29.140625" customWidth="1"/>
    <col min="15607" max="15607" width="15.7109375" customWidth="1"/>
    <col min="15608" max="15609" width="6.42578125" customWidth="1"/>
    <col min="15610" max="15610" width="24.5703125" customWidth="1"/>
    <col min="15611" max="15611" width="34.7109375" customWidth="1"/>
    <col min="15612" max="15612" width="16.42578125" customWidth="1"/>
    <col min="15613" max="15613" width="16" bestFit="1" customWidth="1"/>
    <col min="15614" max="15614" width="29.140625" customWidth="1"/>
    <col min="15615" max="15615" width="15.7109375" customWidth="1"/>
    <col min="15616" max="15617" width="6.42578125" customWidth="1"/>
    <col min="15618" max="15618" width="24.5703125" customWidth="1"/>
    <col min="15619" max="15619" width="34.7109375" customWidth="1"/>
    <col min="15620" max="15620" width="16.42578125" customWidth="1"/>
    <col min="15621" max="15621" width="16" bestFit="1" customWidth="1"/>
    <col min="15622" max="15622" width="29.140625" customWidth="1"/>
    <col min="15623" max="15623" width="15.7109375" customWidth="1"/>
    <col min="15624" max="15625" width="6.42578125" customWidth="1"/>
    <col min="15626" max="15626" width="24.5703125" customWidth="1"/>
    <col min="15627" max="15627" width="34.7109375" customWidth="1"/>
    <col min="15628" max="15628" width="16.42578125" customWidth="1"/>
    <col min="15629" max="15629" width="16" bestFit="1" customWidth="1"/>
    <col min="15630" max="15630" width="29.140625" customWidth="1"/>
    <col min="15631" max="15631" width="15.7109375" customWidth="1"/>
    <col min="15632" max="15633" width="6.42578125" customWidth="1"/>
    <col min="15634" max="15634" width="24.5703125" customWidth="1"/>
    <col min="15635" max="15635" width="34.7109375" customWidth="1"/>
    <col min="15636" max="15636" width="16.42578125" customWidth="1"/>
    <col min="15637" max="15637" width="16" bestFit="1" customWidth="1"/>
    <col min="15638" max="15638" width="29.140625" customWidth="1"/>
    <col min="15639" max="15639" width="15.7109375" customWidth="1"/>
    <col min="15640" max="15641" width="6.42578125" customWidth="1"/>
    <col min="15642" max="15642" width="24.5703125" customWidth="1"/>
    <col min="15643" max="15643" width="34.7109375" customWidth="1"/>
    <col min="15644" max="15644" width="16.42578125" customWidth="1"/>
    <col min="15645" max="15645" width="16" bestFit="1" customWidth="1"/>
    <col min="15646" max="15646" width="29.140625" customWidth="1"/>
    <col min="15647" max="15647" width="15.7109375" customWidth="1"/>
    <col min="15648" max="15649" width="6.42578125" customWidth="1"/>
    <col min="15650" max="15650" width="24.5703125" customWidth="1"/>
    <col min="15651" max="15651" width="34.7109375" customWidth="1"/>
    <col min="15652" max="15652" width="16.42578125" customWidth="1"/>
    <col min="15653" max="15653" width="16" bestFit="1" customWidth="1"/>
    <col min="15654" max="15654" width="29.140625" customWidth="1"/>
    <col min="15655" max="15655" width="15.7109375" customWidth="1"/>
    <col min="15656" max="15657" width="6.42578125" customWidth="1"/>
    <col min="15658" max="15658" width="24.5703125" customWidth="1"/>
    <col min="15659" max="15659" width="34.7109375" customWidth="1"/>
    <col min="15660" max="15660" width="16.42578125" customWidth="1"/>
    <col min="15661" max="15661" width="16" bestFit="1" customWidth="1"/>
    <col min="15662" max="15662" width="29.140625" customWidth="1"/>
    <col min="15663" max="15663" width="15.7109375" customWidth="1"/>
    <col min="15664" max="15665" width="6.42578125" customWidth="1"/>
    <col min="15666" max="15666" width="24.5703125" customWidth="1"/>
    <col min="15667" max="15667" width="34.7109375" customWidth="1"/>
    <col min="15668" max="15668" width="16.42578125" customWidth="1"/>
    <col min="15669" max="15669" width="16" bestFit="1" customWidth="1"/>
    <col min="15670" max="15670" width="29.140625" customWidth="1"/>
    <col min="15671" max="15671" width="15.7109375" customWidth="1"/>
    <col min="15672" max="15673" width="6.42578125" customWidth="1"/>
    <col min="15674" max="15674" width="24.5703125" customWidth="1"/>
    <col min="15675" max="15675" width="34.7109375" customWidth="1"/>
    <col min="15676" max="15676" width="16.42578125" customWidth="1"/>
    <col min="15677" max="15677" width="16" bestFit="1" customWidth="1"/>
    <col min="15678" max="15678" width="29.140625" customWidth="1"/>
    <col min="15679" max="15679" width="15.7109375" customWidth="1"/>
    <col min="15680" max="15681" width="6.42578125" customWidth="1"/>
    <col min="15682" max="15682" width="24.5703125" customWidth="1"/>
    <col min="15683" max="15683" width="34.7109375" customWidth="1"/>
    <col min="15684" max="15684" width="16.42578125" customWidth="1"/>
    <col min="15685" max="15685" width="16" bestFit="1" customWidth="1"/>
    <col min="15686" max="15686" width="29.140625" customWidth="1"/>
    <col min="15687" max="15687" width="15.7109375" customWidth="1"/>
    <col min="15688" max="15689" width="6.42578125" customWidth="1"/>
    <col min="15690" max="15690" width="24.5703125" customWidth="1"/>
    <col min="15691" max="15691" width="34.7109375" customWidth="1"/>
    <col min="15692" max="15692" width="16.42578125" customWidth="1"/>
    <col min="15693" max="15693" width="16" bestFit="1" customWidth="1"/>
    <col min="15694" max="15694" width="29.140625" customWidth="1"/>
    <col min="15695" max="15695" width="15.7109375" customWidth="1"/>
    <col min="15696" max="15697" width="6.42578125" customWidth="1"/>
    <col min="15698" max="15698" width="24.5703125" customWidth="1"/>
    <col min="15699" max="15699" width="34.7109375" customWidth="1"/>
    <col min="15700" max="15700" width="16.42578125" customWidth="1"/>
    <col min="15701" max="15701" width="16" bestFit="1" customWidth="1"/>
    <col min="15702" max="15702" width="29.140625" customWidth="1"/>
    <col min="15703" max="15703" width="15.7109375" customWidth="1"/>
    <col min="15704" max="15705" width="6.42578125" customWidth="1"/>
    <col min="15706" max="15706" width="24.5703125" customWidth="1"/>
    <col min="15707" max="15707" width="34.7109375" customWidth="1"/>
    <col min="15708" max="15708" width="16.42578125" customWidth="1"/>
    <col min="15709" max="15709" width="16" bestFit="1" customWidth="1"/>
    <col min="15710" max="15710" width="29.140625" customWidth="1"/>
    <col min="15711" max="15711" width="15.7109375" customWidth="1"/>
    <col min="15712" max="15713" width="6.42578125" customWidth="1"/>
    <col min="15714" max="15714" width="24.5703125" customWidth="1"/>
    <col min="15715" max="15715" width="34.7109375" customWidth="1"/>
    <col min="15716" max="15716" width="16.42578125" customWidth="1"/>
    <col min="15717" max="15717" width="16" bestFit="1" customWidth="1"/>
    <col min="15718" max="15718" width="29.140625" customWidth="1"/>
    <col min="15719" max="15719" width="15.7109375" customWidth="1"/>
    <col min="15720" max="15721" width="6.42578125" customWidth="1"/>
    <col min="15722" max="15722" width="24.5703125" customWidth="1"/>
    <col min="15723" max="15723" width="34.7109375" customWidth="1"/>
    <col min="15724" max="15724" width="16.42578125" customWidth="1"/>
    <col min="15725" max="15725" width="16" bestFit="1" customWidth="1"/>
    <col min="15726" max="15726" width="29.140625" customWidth="1"/>
    <col min="15727" max="15727" width="15.7109375" customWidth="1"/>
    <col min="15728" max="15729" width="6.42578125" customWidth="1"/>
    <col min="15730" max="15730" width="24.5703125" customWidth="1"/>
    <col min="15731" max="15731" width="34.7109375" customWidth="1"/>
    <col min="15732" max="15732" width="16.42578125" customWidth="1"/>
    <col min="15733" max="15733" width="16" bestFit="1" customWidth="1"/>
    <col min="15734" max="15734" width="29.140625" customWidth="1"/>
    <col min="15735" max="15735" width="15.7109375" customWidth="1"/>
    <col min="15736" max="15737" width="6.42578125" customWidth="1"/>
    <col min="15738" max="15738" width="24.5703125" customWidth="1"/>
    <col min="15739" max="15739" width="34.7109375" customWidth="1"/>
    <col min="15740" max="15740" width="16.42578125" customWidth="1"/>
    <col min="15741" max="15741" width="16" bestFit="1" customWidth="1"/>
    <col min="15742" max="15742" width="29.140625" customWidth="1"/>
    <col min="15743" max="15743" width="15.7109375" customWidth="1"/>
    <col min="15744" max="15745" width="6.42578125" customWidth="1"/>
    <col min="15746" max="15746" width="24.5703125" customWidth="1"/>
    <col min="15747" max="15747" width="34.7109375" customWidth="1"/>
    <col min="15748" max="15748" width="16.42578125" customWidth="1"/>
    <col min="15749" max="15749" width="16" bestFit="1" customWidth="1"/>
    <col min="15750" max="15750" width="29.140625" customWidth="1"/>
    <col min="15751" max="15751" width="15.7109375" customWidth="1"/>
    <col min="15752" max="15753" width="6.42578125" customWidth="1"/>
    <col min="15754" max="15754" width="24.5703125" customWidth="1"/>
    <col min="15755" max="15755" width="34.7109375" customWidth="1"/>
    <col min="15756" max="15756" width="16.42578125" customWidth="1"/>
    <col min="15757" max="15757" width="16" bestFit="1" customWidth="1"/>
    <col min="15758" max="15758" width="29.140625" customWidth="1"/>
    <col min="15759" max="15759" width="15.7109375" customWidth="1"/>
    <col min="15760" max="15761" width="6.42578125" customWidth="1"/>
    <col min="15762" max="15762" width="24.5703125" customWidth="1"/>
    <col min="15763" max="15763" width="34.7109375" customWidth="1"/>
    <col min="15764" max="15764" width="16.42578125" customWidth="1"/>
    <col min="15765" max="15765" width="16" bestFit="1" customWidth="1"/>
    <col min="15766" max="15766" width="29.140625" customWidth="1"/>
    <col min="15767" max="15767" width="15.7109375" customWidth="1"/>
    <col min="15768" max="15769" width="6.42578125" customWidth="1"/>
    <col min="15770" max="15770" width="24.5703125" customWidth="1"/>
    <col min="15771" max="15771" width="34.7109375" customWidth="1"/>
    <col min="15772" max="15772" width="16.42578125" customWidth="1"/>
    <col min="15773" max="15773" width="16" bestFit="1" customWidth="1"/>
    <col min="15774" max="15774" width="29.140625" customWidth="1"/>
    <col min="15775" max="15775" width="15.7109375" customWidth="1"/>
    <col min="15776" max="15777" width="6.42578125" customWidth="1"/>
    <col min="15778" max="15778" width="24.5703125" customWidth="1"/>
    <col min="15779" max="15779" width="34.7109375" customWidth="1"/>
    <col min="15780" max="15780" width="16.42578125" customWidth="1"/>
    <col min="15781" max="15781" width="16" bestFit="1" customWidth="1"/>
    <col min="15782" max="15782" width="29.140625" customWidth="1"/>
    <col min="15783" max="15783" width="15.7109375" customWidth="1"/>
    <col min="15784" max="15785" width="6.42578125" customWidth="1"/>
    <col min="15786" max="15786" width="24.5703125" customWidth="1"/>
    <col min="15787" max="15787" width="34.7109375" customWidth="1"/>
    <col min="15788" max="15788" width="16.42578125" customWidth="1"/>
    <col min="15789" max="15789" width="16" bestFit="1" customWidth="1"/>
    <col min="15790" max="15790" width="29.140625" customWidth="1"/>
    <col min="15791" max="15791" width="15.7109375" customWidth="1"/>
    <col min="15792" max="15793" width="6.42578125" customWidth="1"/>
    <col min="15794" max="15794" width="24.5703125" customWidth="1"/>
    <col min="15795" max="15795" width="34.7109375" customWidth="1"/>
    <col min="15796" max="15796" width="16.42578125" customWidth="1"/>
    <col min="15797" max="15797" width="16" bestFit="1" customWidth="1"/>
    <col min="15798" max="15798" width="29.140625" customWidth="1"/>
    <col min="15799" max="15799" width="15.7109375" customWidth="1"/>
    <col min="15800" max="15801" width="6.42578125" customWidth="1"/>
    <col min="15802" max="15802" width="24.5703125" customWidth="1"/>
    <col min="15803" max="15803" width="34.7109375" customWidth="1"/>
    <col min="15804" max="15804" width="16.42578125" customWidth="1"/>
    <col min="15805" max="15805" width="16" bestFit="1" customWidth="1"/>
    <col min="15806" max="15806" width="29.140625" customWidth="1"/>
    <col min="15807" max="15807" width="15.7109375" customWidth="1"/>
    <col min="15808" max="15809" width="6.42578125" customWidth="1"/>
    <col min="15810" max="15810" width="24.5703125" customWidth="1"/>
    <col min="15811" max="15811" width="34.7109375" customWidth="1"/>
    <col min="15812" max="15812" width="16.42578125" customWidth="1"/>
    <col min="15813" max="15813" width="16" bestFit="1" customWidth="1"/>
    <col min="15814" max="15814" width="29.140625" customWidth="1"/>
    <col min="15815" max="15815" width="15.7109375" customWidth="1"/>
    <col min="15816" max="15817" width="6.42578125" customWidth="1"/>
    <col min="15818" max="15818" width="24.5703125" customWidth="1"/>
    <col min="15819" max="15819" width="34.7109375" customWidth="1"/>
    <col min="15820" max="15820" width="16.42578125" customWidth="1"/>
    <col min="15821" max="15821" width="16" bestFit="1" customWidth="1"/>
    <col min="15822" max="15822" width="29.140625" customWidth="1"/>
    <col min="15823" max="15823" width="15.7109375" customWidth="1"/>
    <col min="15824" max="15825" width="6.42578125" customWidth="1"/>
    <col min="15826" max="15826" width="24.5703125" customWidth="1"/>
    <col min="15827" max="15827" width="34.7109375" customWidth="1"/>
    <col min="15828" max="15828" width="16.42578125" customWidth="1"/>
    <col min="15829" max="15829" width="16" bestFit="1" customWidth="1"/>
    <col min="15830" max="15830" width="29.140625" customWidth="1"/>
    <col min="15831" max="15831" width="15.7109375" customWidth="1"/>
    <col min="15832" max="15833" width="6.42578125" customWidth="1"/>
    <col min="15834" max="15834" width="24.5703125" customWidth="1"/>
    <col min="15835" max="15835" width="34.7109375" customWidth="1"/>
    <col min="15836" max="15836" width="16.42578125" customWidth="1"/>
    <col min="15837" max="15837" width="16" bestFit="1" customWidth="1"/>
    <col min="15838" max="15838" width="29.140625" customWidth="1"/>
    <col min="15839" max="15839" width="15.7109375" customWidth="1"/>
    <col min="15840" max="15841" width="6.42578125" customWidth="1"/>
    <col min="15842" max="15842" width="24.5703125" customWidth="1"/>
    <col min="15843" max="15843" width="34.7109375" customWidth="1"/>
    <col min="15844" max="15844" width="16.42578125" customWidth="1"/>
    <col min="15845" max="15845" width="16" bestFit="1" customWidth="1"/>
    <col min="15846" max="15846" width="29.140625" customWidth="1"/>
    <col min="15847" max="15847" width="15.7109375" customWidth="1"/>
    <col min="15848" max="15849" width="6.42578125" customWidth="1"/>
    <col min="15850" max="15850" width="24.5703125" customWidth="1"/>
    <col min="15851" max="15851" width="34.7109375" customWidth="1"/>
    <col min="15852" max="15852" width="16.42578125" customWidth="1"/>
    <col min="15853" max="15853" width="16" bestFit="1" customWidth="1"/>
    <col min="15854" max="15854" width="29.140625" customWidth="1"/>
    <col min="15855" max="15855" width="15.7109375" customWidth="1"/>
    <col min="15856" max="15857" width="6.42578125" customWidth="1"/>
    <col min="15858" max="15858" width="24.5703125" customWidth="1"/>
    <col min="15859" max="15859" width="34.7109375" customWidth="1"/>
    <col min="15860" max="15860" width="16.42578125" customWidth="1"/>
    <col min="15861" max="15861" width="16" bestFit="1" customWidth="1"/>
    <col min="15862" max="15862" width="29.140625" customWidth="1"/>
    <col min="15863" max="15863" width="15.7109375" customWidth="1"/>
    <col min="15864" max="15865" width="6.42578125" customWidth="1"/>
    <col min="15866" max="15866" width="24.5703125" customWidth="1"/>
    <col min="15867" max="15867" width="34.7109375" customWidth="1"/>
    <col min="15868" max="15868" width="16.42578125" customWidth="1"/>
    <col min="15869" max="15869" width="16" bestFit="1" customWidth="1"/>
    <col min="15870" max="15870" width="29.140625" customWidth="1"/>
    <col min="15871" max="15871" width="15.7109375" customWidth="1"/>
    <col min="15872" max="15873" width="6.42578125" customWidth="1"/>
    <col min="15874" max="15874" width="24.5703125" customWidth="1"/>
    <col min="15875" max="15875" width="34.7109375" customWidth="1"/>
    <col min="15876" max="15876" width="16.42578125" customWidth="1"/>
    <col min="15877" max="15877" width="16" bestFit="1" customWidth="1"/>
    <col min="15878" max="15878" width="29.140625" customWidth="1"/>
    <col min="15879" max="15879" width="15.7109375" customWidth="1"/>
    <col min="15880" max="15881" width="6.42578125" customWidth="1"/>
    <col min="15882" max="15882" width="24.5703125" customWidth="1"/>
    <col min="15883" max="15883" width="34.7109375" customWidth="1"/>
    <col min="15884" max="15884" width="16.42578125" customWidth="1"/>
    <col min="15885" max="15885" width="16" bestFit="1" customWidth="1"/>
    <col min="15886" max="15886" width="29.140625" customWidth="1"/>
    <col min="15887" max="15887" width="15.7109375" customWidth="1"/>
    <col min="15888" max="15889" width="6.42578125" customWidth="1"/>
    <col min="15890" max="15890" width="24.5703125" customWidth="1"/>
    <col min="15891" max="15891" width="34.7109375" customWidth="1"/>
    <col min="15892" max="15892" width="16.42578125" customWidth="1"/>
    <col min="15893" max="15893" width="16" bestFit="1" customWidth="1"/>
    <col min="15894" max="15894" width="29.140625" customWidth="1"/>
    <col min="15895" max="15895" width="15.7109375" customWidth="1"/>
    <col min="15896" max="15897" width="6.42578125" customWidth="1"/>
    <col min="15898" max="15898" width="24.5703125" customWidth="1"/>
    <col min="15899" max="15899" width="34.7109375" customWidth="1"/>
    <col min="15900" max="15900" width="16.42578125" customWidth="1"/>
    <col min="15901" max="15901" width="16" bestFit="1" customWidth="1"/>
    <col min="15902" max="15902" width="29.140625" customWidth="1"/>
    <col min="15903" max="15903" width="15.7109375" customWidth="1"/>
    <col min="15904" max="15905" width="6.42578125" customWidth="1"/>
    <col min="15906" max="15906" width="24.5703125" customWidth="1"/>
    <col min="15907" max="15907" width="34.7109375" customWidth="1"/>
    <col min="15908" max="15908" width="16.42578125" customWidth="1"/>
    <col min="15909" max="15909" width="16" bestFit="1" customWidth="1"/>
    <col min="15910" max="15910" width="29.140625" customWidth="1"/>
    <col min="15911" max="15911" width="15.7109375" customWidth="1"/>
    <col min="15912" max="15913" width="6.42578125" customWidth="1"/>
    <col min="15914" max="15914" width="24.5703125" customWidth="1"/>
    <col min="15915" max="15915" width="34.7109375" customWidth="1"/>
    <col min="15916" max="15916" width="16.42578125" customWidth="1"/>
    <col min="15917" max="15917" width="16" bestFit="1" customWidth="1"/>
    <col min="15918" max="15918" width="29.140625" customWidth="1"/>
    <col min="15919" max="15919" width="15.7109375" customWidth="1"/>
    <col min="15920" max="15921" width="6.42578125" customWidth="1"/>
    <col min="15922" max="15922" width="24.5703125" customWidth="1"/>
    <col min="15923" max="15923" width="34.7109375" customWidth="1"/>
    <col min="15924" max="15924" width="16.42578125" customWidth="1"/>
    <col min="15925" max="15925" width="16" bestFit="1" customWidth="1"/>
    <col min="15926" max="15926" width="29.140625" customWidth="1"/>
    <col min="15927" max="15927" width="15.7109375" customWidth="1"/>
    <col min="15928" max="15929" width="6.42578125" customWidth="1"/>
    <col min="15930" max="15930" width="24.5703125" customWidth="1"/>
    <col min="15931" max="15931" width="34.7109375" customWidth="1"/>
    <col min="15932" max="15932" width="16.42578125" customWidth="1"/>
    <col min="15933" max="15933" width="16" bestFit="1" customWidth="1"/>
    <col min="15934" max="15934" width="29.140625" customWidth="1"/>
    <col min="15935" max="15935" width="15.7109375" customWidth="1"/>
    <col min="15936" max="15937" width="6.42578125" customWidth="1"/>
    <col min="15938" max="15938" width="24.5703125" customWidth="1"/>
    <col min="15939" max="15939" width="34.7109375" customWidth="1"/>
    <col min="15940" max="15940" width="16.42578125" customWidth="1"/>
    <col min="15941" max="15941" width="16" bestFit="1" customWidth="1"/>
    <col min="15942" max="15942" width="29.140625" customWidth="1"/>
    <col min="15943" max="15943" width="15.7109375" customWidth="1"/>
    <col min="15944" max="15945" width="6.42578125" customWidth="1"/>
    <col min="15946" max="15946" width="24.5703125" customWidth="1"/>
    <col min="15947" max="15947" width="34.7109375" customWidth="1"/>
    <col min="15948" max="15948" width="16.42578125" customWidth="1"/>
    <col min="15949" max="15949" width="16" bestFit="1" customWidth="1"/>
    <col min="15950" max="15950" width="29.140625" customWidth="1"/>
    <col min="15951" max="15951" width="15.7109375" customWidth="1"/>
    <col min="15952" max="15953" width="6.42578125" customWidth="1"/>
    <col min="15954" max="15954" width="24.5703125" customWidth="1"/>
    <col min="15955" max="15955" width="34.7109375" customWidth="1"/>
    <col min="15956" max="15956" width="16.42578125" customWidth="1"/>
    <col min="15957" max="15957" width="16" bestFit="1" customWidth="1"/>
    <col min="15958" max="15958" width="29.140625" customWidth="1"/>
    <col min="15959" max="15959" width="15.7109375" customWidth="1"/>
    <col min="15960" max="15961" width="6.42578125" customWidth="1"/>
    <col min="15962" max="15962" width="24.5703125" customWidth="1"/>
    <col min="15963" max="15963" width="34.7109375" customWidth="1"/>
    <col min="15964" max="15964" width="16.42578125" customWidth="1"/>
    <col min="15965" max="15965" width="16" bestFit="1" customWidth="1"/>
    <col min="15966" max="15966" width="29.140625" customWidth="1"/>
    <col min="15967" max="15967" width="15.7109375" customWidth="1"/>
    <col min="15968" max="15969" width="6.42578125" customWidth="1"/>
    <col min="15970" max="15970" width="24.5703125" customWidth="1"/>
    <col min="15971" max="15971" width="34.7109375" customWidth="1"/>
    <col min="15972" max="15972" width="16.42578125" customWidth="1"/>
    <col min="15973" max="15973" width="16" bestFit="1" customWidth="1"/>
    <col min="15974" max="15974" width="29.140625" customWidth="1"/>
    <col min="15975" max="15975" width="15.7109375" customWidth="1"/>
    <col min="15976" max="15977" width="6.42578125" customWidth="1"/>
    <col min="15978" max="15978" width="24.5703125" customWidth="1"/>
    <col min="15979" max="15979" width="34.7109375" customWidth="1"/>
    <col min="15980" max="15980" width="16.42578125" customWidth="1"/>
    <col min="15981" max="15981" width="16" bestFit="1" customWidth="1"/>
    <col min="15982" max="15982" width="29.140625" customWidth="1"/>
    <col min="15983" max="15983" width="15.7109375" customWidth="1"/>
    <col min="15984" max="15985" width="6.42578125" customWidth="1"/>
    <col min="15986" max="15986" width="24.5703125" customWidth="1"/>
    <col min="15987" max="15987" width="34.7109375" customWidth="1"/>
    <col min="15988" max="15988" width="16.42578125" customWidth="1"/>
    <col min="15989" max="15989" width="16" bestFit="1" customWidth="1"/>
    <col min="15990" max="15990" width="29.140625" customWidth="1"/>
    <col min="15991" max="15991" width="15.7109375" customWidth="1"/>
    <col min="15992" max="15993" width="6.42578125" customWidth="1"/>
    <col min="15994" max="15994" width="24.5703125" customWidth="1"/>
    <col min="15995" max="15995" width="34.7109375" customWidth="1"/>
    <col min="15996" max="15996" width="16.42578125" customWidth="1"/>
    <col min="15997" max="15997" width="16" bestFit="1" customWidth="1"/>
    <col min="15998" max="15998" width="29.140625" customWidth="1"/>
    <col min="15999" max="15999" width="15.7109375" customWidth="1"/>
    <col min="16000" max="16001" width="6.42578125" customWidth="1"/>
    <col min="16002" max="16002" width="24.5703125" customWidth="1"/>
    <col min="16003" max="16003" width="34.7109375" customWidth="1"/>
    <col min="16004" max="16004" width="16.42578125" customWidth="1"/>
    <col min="16005" max="16005" width="16" bestFit="1" customWidth="1"/>
    <col min="16006" max="16006" width="29.140625" customWidth="1"/>
    <col min="16007" max="16007" width="15.7109375" customWidth="1"/>
    <col min="16008" max="16009" width="6.42578125" customWidth="1"/>
    <col min="16010" max="16010" width="24.5703125" customWidth="1"/>
    <col min="16011" max="16011" width="34.7109375" customWidth="1"/>
    <col min="16012" max="16012" width="16.42578125" customWidth="1"/>
    <col min="16013" max="16013" width="16" bestFit="1" customWidth="1"/>
    <col min="16014" max="16014" width="29.140625" customWidth="1"/>
    <col min="16015" max="16015" width="15.7109375" customWidth="1"/>
    <col min="16016" max="16017" width="6.42578125" customWidth="1"/>
    <col min="16018" max="16018" width="24.5703125" customWidth="1"/>
    <col min="16019" max="16019" width="34.7109375" customWidth="1"/>
    <col min="16020" max="16020" width="16.42578125" customWidth="1"/>
    <col min="16021" max="16021" width="16" bestFit="1" customWidth="1"/>
    <col min="16022" max="16022" width="29.140625" customWidth="1"/>
    <col min="16023" max="16023" width="15.7109375" customWidth="1"/>
    <col min="16024" max="16025" width="6.42578125" customWidth="1"/>
    <col min="16026" max="16026" width="24.5703125" customWidth="1"/>
    <col min="16027" max="16027" width="34.7109375" customWidth="1"/>
    <col min="16028" max="16028" width="16.42578125" customWidth="1"/>
    <col min="16029" max="16029" width="16" bestFit="1" customWidth="1"/>
    <col min="16030" max="16030" width="29.140625" customWidth="1"/>
    <col min="16031" max="16031" width="15.7109375" customWidth="1"/>
    <col min="16032" max="16033" width="6.42578125" customWidth="1"/>
    <col min="16034" max="16034" width="24.5703125" customWidth="1"/>
    <col min="16035" max="16035" width="34.7109375" customWidth="1"/>
    <col min="16036" max="16036" width="16.42578125" customWidth="1"/>
    <col min="16037" max="16037" width="16" bestFit="1" customWidth="1"/>
    <col min="16038" max="16038" width="29.140625" customWidth="1"/>
    <col min="16039" max="16039" width="15.7109375" customWidth="1"/>
    <col min="16040" max="16041" width="6.42578125" customWidth="1"/>
    <col min="16042" max="16042" width="24.5703125" customWidth="1"/>
    <col min="16043" max="16043" width="34.7109375" customWidth="1"/>
    <col min="16044" max="16044" width="16.42578125" customWidth="1"/>
    <col min="16045" max="16045" width="16" bestFit="1" customWidth="1"/>
    <col min="16046" max="16046" width="29.140625" customWidth="1"/>
    <col min="16047" max="16047" width="15.7109375" customWidth="1"/>
    <col min="16048" max="16049" width="6.42578125" customWidth="1"/>
    <col min="16050" max="16050" width="24.5703125" customWidth="1"/>
    <col min="16051" max="16051" width="34.7109375" customWidth="1"/>
    <col min="16052" max="16052" width="16.42578125" customWidth="1"/>
    <col min="16053" max="16053" width="16" bestFit="1" customWidth="1"/>
    <col min="16054" max="16054" width="29.140625" customWidth="1"/>
    <col min="16055" max="16055" width="15.7109375" customWidth="1"/>
    <col min="16056" max="16057" width="6.42578125" customWidth="1"/>
    <col min="16058" max="16058" width="24.5703125" customWidth="1"/>
    <col min="16059" max="16059" width="34.7109375" customWidth="1"/>
    <col min="16060" max="16060" width="16.42578125" customWidth="1"/>
    <col min="16061" max="16061" width="16" bestFit="1" customWidth="1"/>
    <col min="16062" max="16062" width="29.140625" customWidth="1"/>
    <col min="16063" max="16063" width="15.7109375" customWidth="1"/>
    <col min="16064" max="16065" width="6.42578125" customWidth="1"/>
    <col min="16066" max="16066" width="24.5703125" customWidth="1"/>
    <col min="16067" max="16067" width="34.7109375" customWidth="1"/>
    <col min="16068" max="16068" width="16.42578125" customWidth="1"/>
    <col min="16069" max="16069" width="16" bestFit="1" customWidth="1"/>
    <col min="16070" max="16070" width="29.140625" customWidth="1"/>
    <col min="16071" max="16071" width="15.7109375" customWidth="1"/>
    <col min="16072" max="16073" width="6.42578125" customWidth="1"/>
    <col min="16074" max="16074" width="24.5703125" customWidth="1"/>
    <col min="16075" max="16075" width="34.7109375" customWidth="1"/>
    <col min="16076" max="16076" width="16.42578125" customWidth="1"/>
    <col min="16077" max="16077" width="16" bestFit="1" customWidth="1"/>
    <col min="16078" max="16078" width="29.140625" customWidth="1"/>
    <col min="16079" max="16079" width="15.7109375" customWidth="1"/>
    <col min="16080" max="16081" width="6.42578125" customWidth="1"/>
    <col min="16082" max="16082" width="24.5703125" customWidth="1"/>
    <col min="16083" max="16083" width="34.7109375" customWidth="1"/>
    <col min="16084" max="16084" width="16.42578125" customWidth="1"/>
    <col min="16085" max="16085" width="16" bestFit="1" customWidth="1"/>
    <col min="16086" max="16086" width="29.140625" customWidth="1"/>
    <col min="16087" max="16087" width="15.7109375" customWidth="1"/>
    <col min="16088" max="16089" width="6.42578125" customWidth="1"/>
    <col min="16090" max="16090" width="24.5703125" customWidth="1"/>
    <col min="16091" max="16091" width="34.7109375" customWidth="1"/>
    <col min="16092" max="16092" width="16.42578125" customWidth="1"/>
    <col min="16093" max="16093" width="16" bestFit="1" customWidth="1"/>
    <col min="16094" max="16094" width="29.140625" customWidth="1"/>
    <col min="16095" max="16095" width="15.7109375" customWidth="1"/>
    <col min="16096" max="16097" width="6.42578125" customWidth="1"/>
    <col min="16098" max="16098" width="24.5703125" customWidth="1"/>
    <col min="16099" max="16099" width="34.7109375" customWidth="1"/>
    <col min="16100" max="16100" width="16.42578125" customWidth="1"/>
    <col min="16101" max="16101" width="16" bestFit="1" customWidth="1"/>
    <col min="16102" max="16102" width="29.140625" customWidth="1"/>
    <col min="16103" max="16103" width="15.7109375" customWidth="1"/>
    <col min="16104" max="16105" width="6.42578125" customWidth="1"/>
    <col min="16106" max="16106" width="24.5703125" customWidth="1"/>
    <col min="16107" max="16107" width="34.7109375" customWidth="1"/>
    <col min="16108" max="16108" width="16.42578125" customWidth="1"/>
    <col min="16109" max="16109" width="16" bestFit="1" customWidth="1"/>
    <col min="16110" max="16110" width="29.140625" customWidth="1"/>
    <col min="16111" max="16111" width="15.7109375" customWidth="1"/>
    <col min="16112" max="16113" width="6.42578125" customWidth="1"/>
    <col min="16114" max="16114" width="24.5703125" customWidth="1"/>
    <col min="16115" max="16115" width="34.7109375" customWidth="1"/>
    <col min="16116" max="16116" width="16.42578125" customWidth="1"/>
    <col min="16117" max="16117" width="16" bestFit="1" customWidth="1"/>
    <col min="16118" max="16118" width="29.140625" customWidth="1"/>
    <col min="16119" max="16119" width="15.7109375" customWidth="1"/>
    <col min="16120" max="16121" width="6.42578125" customWidth="1"/>
    <col min="16122" max="16122" width="24.5703125" customWidth="1"/>
    <col min="16123" max="16123" width="34.7109375" customWidth="1"/>
    <col min="16124" max="16124" width="16.42578125" customWidth="1"/>
    <col min="16125" max="16125" width="16" bestFit="1" customWidth="1"/>
    <col min="16126" max="16126" width="29.140625" customWidth="1"/>
    <col min="16127" max="16127" width="15.7109375" customWidth="1"/>
    <col min="16128" max="16129" width="6.42578125" customWidth="1"/>
    <col min="16130" max="16130" width="24.5703125" customWidth="1"/>
    <col min="16131" max="16131" width="34.7109375" customWidth="1"/>
    <col min="16132" max="16132" width="16.42578125" customWidth="1"/>
    <col min="16133" max="16133" width="16" bestFit="1" customWidth="1"/>
    <col min="16134" max="16134" width="29.140625" customWidth="1"/>
    <col min="16135" max="16135" width="15.7109375" customWidth="1"/>
    <col min="16136" max="16137" width="6.42578125" customWidth="1"/>
    <col min="16138" max="16138" width="24.5703125" customWidth="1"/>
    <col min="16139" max="16139" width="34.7109375" customWidth="1"/>
    <col min="16140" max="16140" width="16.42578125" customWidth="1"/>
    <col min="16141" max="16141" width="16" bestFit="1" customWidth="1"/>
    <col min="16142" max="16142" width="29.140625" customWidth="1"/>
    <col min="16143" max="16143" width="15.7109375" customWidth="1"/>
    <col min="16144" max="16145" width="6.42578125" customWidth="1"/>
    <col min="16146" max="16146" width="24.5703125" customWidth="1"/>
    <col min="16147" max="16147" width="34.7109375" customWidth="1"/>
    <col min="16148" max="16148" width="16.42578125" customWidth="1"/>
    <col min="16149" max="16149" width="16" bestFit="1" customWidth="1"/>
    <col min="16150" max="16150" width="29.140625" customWidth="1"/>
    <col min="16151" max="16151" width="15.7109375" customWidth="1"/>
    <col min="16152" max="16153" width="6.42578125" customWidth="1"/>
    <col min="16154" max="16154" width="24.5703125" customWidth="1"/>
    <col min="16155" max="16155" width="34.7109375" customWidth="1"/>
    <col min="16156" max="16156" width="16.42578125" customWidth="1"/>
    <col min="16157" max="16157" width="16" bestFit="1" customWidth="1"/>
    <col min="16158" max="16158" width="29.140625" customWidth="1"/>
    <col min="16159" max="16159" width="15.7109375" customWidth="1"/>
    <col min="16160" max="16161" width="6.42578125" customWidth="1"/>
    <col min="16162" max="16162" width="24.5703125" customWidth="1"/>
    <col min="16163" max="16163" width="34.7109375" customWidth="1"/>
    <col min="16164" max="16164" width="16.42578125" customWidth="1"/>
    <col min="16165" max="16165" width="16" bestFit="1" customWidth="1"/>
    <col min="16166" max="16166" width="29.140625" customWidth="1"/>
    <col min="16167" max="16167" width="15.7109375" customWidth="1"/>
    <col min="16168" max="16169" width="6.42578125" customWidth="1"/>
    <col min="16170" max="16170" width="24.5703125" customWidth="1"/>
    <col min="16171" max="16171" width="34.7109375" customWidth="1"/>
    <col min="16172" max="16172" width="16.42578125" customWidth="1"/>
    <col min="16173" max="16173" width="16" bestFit="1" customWidth="1"/>
    <col min="16174" max="16174" width="29.140625" customWidth="1"/>
    <col min="16175" max="16175" width="15.7109375" customWidth="1"/>
    <col min="16176" max="16177" width="6.42578125" customWidth="1"/>
    <col min="16178" max="16178" width="24.5703125" customWidth="1"/>
    <col min="16179" max="16179" width="34.7109375" customWidth="1"/>
    <col min="16180" max="16180" width="16.42578125" customWidth="1"/>
    <col min="16181" max="16181" width="16" bestFit="1" customWidth="1"/>
    <col min="16182" max="16182" width="29.140625" customWidth="1"/>
    <col min="16183" max="16183" width="15.7109375" customWidth="1"/>
    <col min="16184" max="16185" width="6.42578125" customWidth="1"/>
    <col min="16186" max="16186" width="24.5703125" customWidth="1"/>
    <col min="16187" max="16187" width="34.7109375" customWidth="1"/>
    <col min="16188" max="16188" width="16.42578125" customWidth="1"/>
    <col min="16189" max="16189" width="16" bestFit="1" customWidth="1"/>
    <col min="16190" max="16190" width="29.140625" customWidth="1"/>
    <col min="16191" max="16191" width="15.7109375" customWidth="1"/>
    <col min="16192" max="16193" width="6.42578125" customWidth="1"/>
    <col min="16194" max="16194" width="24.5703125" customWidth="1"/>
    <col min="16195" max="16195" width="34.7109375" customWidth="1"/>
    <col min="16196" max="16196" width="16.42578125" customWidth="1"/>
    <col min="16197" max="16197" width="16" bestFit="1" customWidth="1"/>
    <col min="16198" max="16198" width="29.140625" customWidth="1"/>
    <col min="16199" max="16199" width="15.7109375" customWidth="1"/>
    <col min="16200" max="16201" width="6.42578125" customWidth="1"/>
    <col min="16202" max="16202" width="24.5703125" customWidth="1"/>
    <col min="16203" max="16203" width="34.7109375" customWidth="1"/>
    <col min="16204" max="16204" width="16.42578125" customWidth="1"/>
    <col min="16205" max="16205" width="16" bestFit="1" customWidth="1"/>
    <col min="16206" max="16206" width="29.140625" customWidth="1"/>
    <col min="16207" max="16207" width="15.7109375" customWidth="1"/>
    <col min="16208" max="16209" width="6.42578125" customWidth="1"/>
    <col min="16210" max="16210" width="24.5703125" customWidth="1"/>
    <col min="16211" max="16211" width="34.7109375" customWidth="1"/>
    <col min="16212" max="16212" width="16.42578125" customWidth="1"/>
    <col min="16213" max="16213" width="16" bestFit="1" customWidth="1"/>
    <col min="16214" max="16214" width="29.140625" customWidth="1"/>
    <col min="16215" max="16215" width="15.7109375" customWidth="1"/>
    <col min="16216" max="16217" width="6.42578125" customWidth="1"/>
    <col min="16218" max="16218" width="24.5703125" customWidth="1"/>
    <col min="16219" max="16219" width="34.7109375" customWidth="1"/>
    <col min="16220" max="16220" width="16.42578125" customWidth="1"/>
    <col min="16221" max="16221" width="16" bestFit="1" customWidth="1"/>
    <col min="16222" max="16222" width="29.140625" customWidth="1"/>
    <col min="16223" max="16223" width="15.7109375" customWidth="1"/>
    <col min="16224" max="16225" width="6.42578125" customWidth="1"/>
    <col min="16226" max="16226" width="24.5703125" customWidth="1"/>
    <col min="16227" max="16227" width="34.7109375" customWidth="1"/>
    <col min="16228" max="16228" width="16.42578125" customWidth="1"/>
    <col min="16229" max="16229" width="16" bestFit="1" customWidth="1"/>
    <col min="16230" max="16230" width="29.140625" customWidth="1"/>
    <col min="16231" max="16231" width="15.7109375" customWidth="1"/>
    <col min="16232" max="16233" width="6.42578125" customWidth="1"/>
    <col min="16234" max="16234" width="24.5703125" customWidth="1"/>
    <col min="16235" max="16235" width="34.7109375" customWidth="1"/>
    <col min="16236" max="16236" width="16.42578125" customWidth="1"/>
    <col min="16237" max="16237" width="16" bestFit="1" customWidth="1"/>
    <col min="16238" max="16238" width="29.140625" customWidth="1"/>
    <col min="16239" max="16239" width="15.7109375" customWidth="1"/>
    <col min="16240" max="16241" width="6.42578125" customWidth="1"/>
    <col min="16242" max="16242" width="24.5703125" customWidth="1"/>
    <col min="16243" max="16243" width="34.7109375" customWidth="1"/>
    <col min="16244" max="16244" width="16.42578125" customWidth="1"/>
    <col min="16245" max="16245" width="16" bestFit="1" customWidth="1"/>
    <col min="16246" max="16246" width="29.140625" customWidth="1"/>
    <col min="16247" max="16247" width="15.7109375" customWidth="1"/>
    <col min="16248" max="16249" width="6.42578125" customWidth="1"/>
    <col min="16250" max="16250" width="24.5703125" customWidth="1"/>
    <col min="16251" max="16251" width="34.7109375" customWidth="1"/>
    <col min="16252" max="16252" width="16.42578125" customWidth="1"/>
    <col min="16253" max="16253" width="16" bestFit="1" customWidth="1"/>
    <col min="16254" max="16254" width="29.140625" customWidth="1"/>
    <col min="16255" max="16255" width="15.7109375" customWidth="1"/>
    <col min="16256" max="16257" width="6.42578125" customWidth="1"/>
    <col min="16258" max="16258" width="24.5703125" customWidth="1"/>
    <col min="16259" max="16259" width="34.7109375" customWidth="1"/>
    <col min="16260" max="16260" width="16.42578125" customWidth="1"/>
    <col min="16261" max="16261" width="16" bestFit="1" customWidth="1"/>
    <col min="16262" max="16262" width="29.140625" customWidth="1"/>
    <col min="16263" max="16263" width="15.7109375" customWidth="1"/>
    <col min="16264" max="16265" width="6.42578125" customWidth="1"/>
    <col min="16266" max="16266" width="24.5703125" customWidth="1"/>
    <col min="16267" max="16267" width="34.7109375" customWidth="1"/>
    <col min="16268" max="16268" width="16.42578125" customWidth="1"/>
    <col min="16269" max="16269" width="16" bestFit="1" customWidth="1"/>
    <col min="16270" max="16270" width="29.140625" customWidth="1"/>
    <col min="16271" max="16271" width="15.7109375" customWidth="1"/>
    <col min="16272" max="16273" width="6.42578125" customWidth="1"/>
    <col min="16274" max="16274" width="24.5703125" customWidth="1"/>
    <col min="16275" max="16275" width="34.7109375" customWidth="1"/>
    <col min="16276" max="16276" width="16.42578125" customWidth="1"/>
    <col min="16277" max="16277" width="16" bestFit="1" customWidth="1"/>
    <col min="16278" max="16278" width="29.140625" customWidth="1"/>
    <col min="16279" max="16279" width="15.7109375" customWidth="1"/>
    <col min="16280" max="16281" width="6.42578125" customWidth="1"/>
    <col min="16282" max="16282" width="24.5703125" customWidth="1"/>
    <col min="16283" max="16283" width="34.7109375" customWidth="1"/>
    <col min="16284" max="16284" width="16.42578125" customWidth="1"/>
    <col min="16285" max="16285" width="16" bestFit="1" customWidth="1"/>
    <col min="16286" max="16286" width="29.140625" customWidth="1"/>
    <col min="16287" max="16287" width="15.7109375" customWidth="1"/>
    <col min="16288" max="16289" width="6.42578125" customWidth="1"/>
    <col min="16290" max="16290" width="24.5703125" customWidth="1"/>
    <col min="16291" max="16291" width="34.7109375" customWidth="1"/>
    <col min="16292" max="16292" width="16.42578125" customWidth="1"/>
    <col min="16293" max="16293" width="16" bestFit="1" customWidth="1"/>
    <col min="16294" max="16294" width="29.140625" customWidth="1"/>
    <col min="16295" max="16295" width="15.7109375" customWidth="1"/>
    <col min="16296" max="16297" width="6.42578125" customWidth="1"/>
    <col min="16298" max="16298" width="24.5703125" customWidth="1"/>
    <col min="16299" max="16299" width="34.7109375" customWidth="1"/>
    <col min="16300" max="16300" width="16.42578125" customWidth="1"/>
    <col min="16301" max="16301" width="16" bestFit="1" customWidth="1"/>
    <col min="16302" max="16302" width="29.140625" customWidth="1"/>
    <col min="16303" max="16303" width="15.7109375" customWidth="1"/>
    <col min="16304" max="16305" width="6.42578125" customWidth="1"/>
    <col min="16306" max="16306" width="24.5703125" customWidth="1"/>
    <col min="16307" max="16307" width="34.7109375" customWidth="1"/>
    <col min="16308" max="16308" width="16.42578125" customWidth="1"/>
    <col min="16309" max="16309" width="16" bestFit="1" customWidth="1"/>
    <col min="16310" max="16310" width="29.140625" customWidth="1"/>
    <col min="16311" max="16311" width="15.7109375" customWidth="1"/>
    <col min="16312" max="16313" width="6.42578125" customWidth="1"/>
    <col min="16314" max="16314" width="24.5703125" customWidth="1"/>
    <col min="16315" max="16315" width="34.7109375" customWidth="1"/>
    <col min="16316" max="16316" width="16.42578125" customWidth="1"/>
    <col min="16317" max="16317" width="16" bestFit="1" customWidth="1"/>
    <col min="16318" max="16318" width="29.140625" customWidth="1"/>
    <col min="16319" max="16319" width="15.7109375" customWidth="1"/>
    <col min="16320" max="16321" width="6.42578125" customWidth="1"/>
    <col min="16322" max="16322" width="24.5703125" customWidth="1"/>
    <col min="16323" max="16323" width="34.7109375" customWidth="1"/>
    <col min="16324" max="16324" width="16.42578125" customWidth="1"/>
    <col min="16325" max="16325" width="16" bestFit="1" customWidth="1"/>
    <col min="16326" max="16326" width="29.140625" customWidth="1"/>
    <col min="16327" max="16327" width="15.7109375" customWidth="1"/>
    <col min="16328" max="16329" width="6.42578125" customWidth="1"/>
    <col min="16330" max="16330" width="24.5703125" customWidth="1"/>
    <col min="16331" max="16331" width="34.7109375" customWidth="1"/>
    <col min="16332" max="16332" width="16.42578125" customWidth="1"/>
    <col min="16333" max="16333" width="16" bestFit="1" customWidth="1"/>
    <col min="16334" max="16334" width="29.140625" customWidth="1"/>
    <col min="16335" max="16335" width="15.7109375" customWidth="1"/>
    <col min="16336" max="16337" width="6.42578125" customWidth="1"/>
    <col min="16338" max="16338" width="24.5703125" customWidth="1"/>
    <col min="16339" max="16339" width="34.7109375" customWidth="1"/>
    <col min="16340" max="16340" width="16.42578125" customWidth="1"/>
    <col min="16341" max="16341" width="16" bestFit="1" customWidth="1"/>
    <col min="16342" max="16342" width="29.140625" customWidth="1"/>
    <col min="16343" max="16343" width="15.7109375" customWidth="1"/>
    <col min="16344" max="16345" width="6.42578125" customWidth="1"/>
    <col min="16346" max="16346" width="24.5703125" customWidth="1"/>
    <col min="16347" max="16347" width="34.7109375" customWidth="1"/>
    <col min="16348" max="16348" width="16.42578125" customWidth="1"/>
    <col min="16349" max="16349" width="16" bestFit="1" customWidth="1"/>
    <col min="16350" max="16350" width="29.140625" customWidth="1"/>
    <col min="16351" max="16351" width="15.7109375" customWidth="1"/>
    <col min="16352" max="16353" width="6.42578125" customWidth="1"/>
    <col min="16354" max="16354" width="24.5703125" customWidth="1"/>
    <col min="16355" max="16355" width="34.7109375" customWidth="1"/>
    <col min="16356" max="16356" width="16.42578125" customWidth="1"/>
    <col min="16357" max="16357" width="16" bestFit="1" customWidth="1"/>
    <col min="16358" max="16358" width="29.140625" customWidth="1"/>
    <col min="16359" max="16359" width="15.7109375" customWidth="1"/>
    <col min="16360" max="16361" width="6.42578125" customWidth="1"/>
    <col min="16362" max="16362" width="24.5703125" customWidth="1"/>
    <col min="16363" max="16363" width="34.7109375" customWidth="1"/>
    <col min="16364" max="16364" width="16.42578125" customWidth="1"/>
    <col min="16365" max="16365" width="16" bestFit="1" customWidth="1"/>
    <col min="16366" max="16366" width="29.140625" customWidth="1"/>
    <col min="16367" max="16367" width="15.7109375" customWidth="1"/>
    <col min="16368" max="16369" width="6.42578125" customWidth="1"/>
    <col min="16370" max="16370" width="24.5703125" customWidth="1"/>
    <col min="16371" max="16371" width="34.7109375" customWidth="1"/>
    <col min="16372" max="16372" width="16.42578125" customWidth="1"/>
    <col min="16373" max="16373" width="16" bestFit="1" customWidth="1"/>
    <col min="16374" max="16374" width="29.140625" customWidth="1"/>
    <col min="16375" max="16375" width="15.7109375" customWidth="1"/>
    <col min="16376" max="16377" width="6.42578125" customWidth="1"/>
    <col min="16378" max="16378" width="24.5703125" customWidth="1"/>
    <col min="16379" max="16379" width="34.7109375" customWidth="1"/>
    <col min="16380" max="16380" width="16.42578125" customWidth="1"/>
    <col min="16381" max="16381" width="16" bestFit="1" customWidth="1"/>
    <col min="16382" max="16382" width="29.140625" customWidth="1"/>
    <col min="16383" max="16383" width="15.7109375" customWidth="1"/>
    <col min="16384" max="16384" width="6.42578125" customWidth="1"/>
  </cols>
  <sheetData>
    <row r="1" spans="1:8" x14ac:dyDescent="0.25">
      <c r="A1" s="22"/>
      <c r="B1" s="22"/>
      <c r="C1" s="22"/>
      <c r="D1" s="22"/>
      <c r="E1" s="22"/>
      <c r="F1" s="22"/>
      <c r="G1" s="22"/>
      <c r="H1" s="22"/>
    </row>
    <row r="2" spans="1:8" ht="18" x14ac:dyDescent="0.25">
      <c r="A2" s="22"/>
      <c r="B2" s="502" t="s">
        <v>317</v>
      </c>
      <c r="C2" s="503"/>
      <c r="D2" s="503"/>
      <c r="E2" s="503"/>
      <c r="F2" s="503"/>
      <c r="G2" s="642"/>
      <c r="H2" s="22"/>
    </row>
    <row r="3" spans="1:8" ht="15.75" x14ac:dyDescent="0.25">
      <c r="A3" s="22"/>
      <c r="B3" s="92"/>
      <c r="C3" s="93"/>
      <c r="D3" s="93"/>
      <c r="E3" s="93"/>
      <c r="F3" s="93"/>
      <c r="G3" s="93"/>
      <c r="H3" s="22"/>
    </row>
    <row r="4" spans="1:8" ht="20.25" x14ac:dyDescent="0.3">
      <c r="A4" s="22"/>
      <c r="B4" s="637" t="s">
        <v>322</v>
      </c>
      <c r="C4" s="637"/>
      <c r="D4" s="637"/>
      <c r="E4" s="637"/>
      <c r="F4" s="637"/>
      <c r="G4" s="637"/>
      <c r="H4" s="22"/>
    </row>
    <row r="5" spans="1:8" ht="16.5" thickBot="1" x14ac:dyDescent="0.3">
      <c r="A5" s="22"/>
      <c r="B5" s="92"/>
      <c r="C5" s="93"/>
      <c r="D5" s="93"/>
      <c r="E5" s="93"/>
      <c r="F5" s="93"/>
      <c r="G5" s="93"/>
      <c r="H5" s="22"/>
    </row>
    <row r="6" spans="1:8" ht="15.75" x14ac:dyDescent="0.25">
      <c r="A6" s="22"/>
      <c r="B6" s="292" t="s">
        <v>193</v>
      </c>
      <c r="C6" s="293"/>
      <c r="D6" s="690" t="str">
        <f>IF('Worksheet Prep'!D3&lt;&gt;"",'Worksheet Prep'!D3,"")</f>
        <v/>
      </c>
      <c r="E6" s="691"/>
      <c r="F6" s="691"/>
      <c r="G6" s="692"/>
      <c r="H6" s="22"/>
    </row>
    <row r="7" spans="1:8" ht="15.75" x14ac:dyDescent="0.25">
      <c r="A7" s="22"/>
      <c r="B7" s="294" t="s">
        <v>272</v>
      </c>
      <c r="C7" s="295"/>
      <c r="D7" s="669"/>
      <c r="E7" s="670"/>
      <c r="F7" s="670"/>
      <c r="G7" s="671"/>
      <c r="H7" s="22"/>
    </row>
    <row r="8" spans="1:8" ht="15.75" customHeight="1" x14ac:dyDescent="0.25">
      <c r="A8" s="22"/>
      <c r="B8" s="294" t="s">
        <v>319</v>
      </c>
      <c r="C8" s="295"/>
      <c r="D8" s="687" t="str">
        <f>IF('Worksheet Prep'!G5&lt;&gt;"",'Worksheet Prep'!G5,"")</f>
        <v/>
      </c>
      <c r="E8" s="688"/>
      <c r="F8" s="688"/>
      <c r="G8" s="689"/>
      <c r="H8" s="22"/>
    </row>
    <row r="9" spans="1:8" ht="15.75" x14ac:dyDescent="0.25">
      <c r="A9" s="22"/>
      <c r="B9" s="294" t="s">
        <v>93</v>
      </c>
      <c r="C9" s="295"/>
      <c r="D9" s="687" t="str">
        <f>IF('Worksheet Prep'!C5&lt;&gt;"",'Worksheet Prep'!C5,"")</f>
        <v/>
      </c>
      <c r="E9" s="688"/>
      <c r="F9" s="688"/>
      <c r="G9" s="689"/>
      <c r="H9" s="22"/>
    </row>
    <row r="10" spans="1:8" ht="15.75" x14ac:dyDescent="0.25">
      <c r="A10" s="22"/>
      <c r="B10" s="294" t="s">
        <v>321</v>
      </c>
      <c r="C10" s="295"/>
      <c r="D10" s="669"/>
      <c r="E10" s="670"/>
      <c r="F10" s="670"/>
      <c r="G10" s="671"/>
      <c r="H10" s="22"/>
    </row>
    <row r="11" spans="1:8" ht="15.75" x14ac:dyDescent="0.25">
      <c r="A11" s="22"/>
      <c r="B11" s="294" t="s">
        <v>196</v>
      </c>
      <c r="C11" s="295"/>
      <c r="D11" s="693" t="str">
        <f>'Additional Info'!F2</f>
        <v>Praetorian Insurance - 3501</v>
      </c>
      <c r="E11" s="654"/>
      <c r="F11" s="654"/>
      <c r="G11" s="694"/>
      <c r="H11" s="22"/>
    </row>
    <row r="12" spans="1:8" ht="16.5" thickBot="1" x14ac:dyDescent="0.3">
      <c r="A12" s="22"/>
      <c r="B12" s="296" t="s">
        <v>197</v>
      </c>
      <c r="C12" s="297"/>
      <c r="D12" s="695">
        <f>VLOOKUP(D11,'STATE CODES (NUM) &amp; MIN-MAX'!B56:D58,3,FALSE)</f>
        <v>21172</v>
      </c>
      <c r="E12" s="696"/>
      <c r="F12" s="696"/>
      <c r="G12" s="697"/>
      <c r="H12" s="22"/>
    </row>
    <row r="13" spans="1:8" x14ac:dyDescent="0.25">
      <c r="A13" s="22"/>
      <c r="B13" s="698" t="s">
        <v>378</v>
      </c>
      <c r="C13" s="698"/>
      <c r="D13" s="698"/>
      <c r="E13" s="698"/>
      <c r="F13" s="698"/>
      <c r="G13" s="698"/>
      <c r="H13" s="22"/>
    </row>
    <row r="14" spans="1:8" x14ac:dyDescent="0.25">
      <c r="A14" s="22"/>
      <c r="B14" s="699"/>
      <c r="C14" s="699"/>
      <c r="D14" s="699"/>
      <c r="E14" s="699"/>
      <c r="F14" s="699"/>
      <c r="G14" s="699"/>
      <c r="H14" s="22"/>
    </row>
    <row r="15" spans="1:8" ht="15.75" thickBot="1" x14ac:dyDescent="0.3">
      <c r="A15" s="22"/>
      <c r="B15" s="700"/>
      <c r="C15" s="700"/>
      <c r="D15" s="700"/>
      <c r="E15" s="700"/>
      <c r="F15" s="700"/>
      <c r="G15" s="700"/>
      <c r="H15" s="22"/>
    </row>
    <row r="16" spans="1:8" x14ac:dyDescent="0.25">
      <c r="A16" s="22"/>
      <c r="B16" s="497" t="s">
        <v>198</v>
      </c>
      <c r="C16" s="497" t="s">
        <v>199</v>
      </c>
      <c r="D16" s="497" t="s">
        <v>320</v>
      </c>
      <c r="E16" s="497" t="s">
        <v>201</v>
      </c>
      <c r="F16" s="497" t="s">
        <v>202</v>
      </c>
      <c r="G16" s="497" t="s">
        <v>203</v>
      </c>
      <c r="H16" s="22"/>
    </row>
    <row r="17" spans="1:9" ht="15.75" thickBot="1" x14ac:dyDescent="0.3">
      <c r="A17" s="22"/>
      <c r="B17" s="498"/>
      <c r="C17" s="701"/>
      <c r="D17" s="701"/>
      <c r="E17" s="701"/>
      <c r="F17" s="701"/>
      <c r="G17" s="701"/>
      <c r="H17" s="22"/>
    </row>
    <row r="18" spans="1:9" ht="45" customHeight="1" thickBot="1" x14ac:dyDescent="0.3">
      <c r="A18" s="22"/>
      <c r="B18" s="272" t="s">
        <v>204</v>
      </c>
      <c r="C18" s="135" t="s">
        <v>205</v>
      </c>
      <c r="D18" s="346">
        <v>0</v>
      </c>
      <c r="E18" s="346">
        <v>0</v>
      </c>
      <c r="F18" s="374"/>
      <c r="G18" s="408" t="s">
        <v>206</v>
      </c>
      <c r="H18" s="407">
        <v>0.1</v>
      </c>
      <c r="I18" s="407">
        <v>0.1</v>
      </c>
    </row>
    <row r="19" spans="1:9" ht="45" customHeight="1" thickBot="1" x14ac:dyDescent="0.3">
      <c r="A19" s="22"/>
      <c r="B19" s="273" t="s">
        <v>207</v>
      </c>
      <c r="C19" s="136" t="s">
        <v>205</v>
      </c>
      <c r="D19" s="348">
        <v>0</v>
      </c>
      <c r="E19" s="348">
        <v>0</v>
      </c>
      <c r="F19" s="375"/>
      <c r="G19" s="409" t="s">
        <v>206</v>
      </c>
      <c r="H19" s="407">
        <v>0.1</v>
      </c>
      <c r="I19" s="407">
        <v>0.1</v>
      </c>
    </row>
    <row r="20" spans="1:9" ht="45" customHeight="1" thickBot="1" x14ac:dyDescent="0.3">
      <c r="A20" s="22"/>
      <c r="B20" s="273" t="s">
        <v>208</v>
      </c>
      <c r="C20" s="137" t="s">
        <v>209</v>
      </c>
      <c r="D20" s="348">
        <v>0</v>
      </c>
      <c r="E20" s="348">
        <v>0</v>
      </c>
      <c r="F20" s="375"/>
      <c r="G20" s="409" t="s">
        <v>206</v>
      </c>
      <c r="H20" s="407">
        <v>0.05</v>
      </c>
      <c r="I20" s="407">
        <v>0.05</v>
      </c>
    </row>
    <row r="21" spans="1:9" ht="45" customHeight="1" thickBot="1" x14ac:dyDescent="0.3">
      <c r="A21" s="22"/>
      <c r="B21" s="273" t="s">
        <v>210</v>
      </c>
      <c r="C21" s="137" t="s">
        <v>209</v>
      </c>
      <c r="D21" s="348">
        <v>0</v>
      </c>
      <c r="E21" s="348">
        <v>0</v>
      </c>
      <c r="F21" s="375"/>
      <c r="G21" s="409" t="s">
        <v>206</v>
      </c>
      <c r="H21" s="407">
        <v>0.05</v>
      </c>
      <c r="I21" s="407">
        <v>0.05</v>
      </c>
    </row>
    <row r="22" spans="1:9" ht="45" customHeight="1" thickBot="1" x14ac:dyDescent="0.3">
      <c r="A22" s="22"/>
      <c r="B22" s="273" t="s">
        <v>288</v>
      </c>
      <c r="C22" s="137" t="s">
        <v>205</v>
      </c>
      <c r="D22" s="348">
        <v>0</v>
      </c>
      <c r="E22" s="348">
        <v>0</v>
      </c>
      <c r="F22" s="375"/>
      <c r="G22" s="409" t="s">
        <v>206</v>
      </c>
      <c r="H22" s="407">
        <v>0.1</v>
      </c>
      <c r="I22" s="407">
        <v>0.1</v>
      </c>
    </row>
    <row r="23" spans="1:9" ht="45" customHeight="1" thickBot="1" x14ac:dyDescent="0.3">
      <c r="A23" s="22"/>
      <c r="B23" s="273" t="s">
        <v>289</v>
      </c>
      <c r="C23" s="298" t="s">
        <v>209</v>
      </c>
      <c r="D23" s="348">
        <v>0</v>
      </c>
      <c r="E23" s="348">
        <v>0</v>
      </c>
      <c r="F23" s="376"/>
      <c r="G23" s="440" t="s">
        <v>206</v>
      </c>
      <c r="H23" s="407">
        <v>0.05</v>
      </c>
      <c r="I23" s="407">
        <v>0.05</v>
      </c>
    </row>
    <row r="24" spans="1:9" ht="45" customHeight="1" thickBot="1" x14ac:dyDescent="0.3">
      <c r="A24" s="22"/>
      <c r="B24" s="274" t="s">
        <v>213</v>
      </c>
      <c r="C24" s="139" t="s">
        <v>209</v>
      </c>
      <c r="D24" s="447">
        <v>0</v>
      </c>
      <c r="E24" s="447">
        <v>0</v>
      </c>
      <c r="F24" s="377"/>
      <c r="G24" s="410" t="s">
        <v>206</v>
      </c>
      <c r="H24" s="407">
        <v>0.05</v>
      </c>
      <c r="I24" s="407">
        <v>0.05</v>
      </c>
    </row>
    <row r="25" spans="1:9" ht="16.5" thickBot="1" x14ac:dyDescent="0.3">
      <c r="A25" s="22"/>
      <c r="B25" s="92" t="s">
        <v>214</v>
      </c>
      <c r="C25" s="93"/>
      <c r="D25" s="299">
        <f>-1 * SUM(D18:D24)</f>
        <v>0</v>
      </c>
      <c r="E25" s="300">
        <f>SUM(E18:E24)</f>
        <v>0</v>
      </c>
      <c r="F25" s="93"/>
      <c r="G25" s="93"/>
      <c r="H25" s="22"/>
    </row>
    <row r="26" spans="1:9" ht="15.75" x14ac:dyDescent="0.25">
      <c r="A26" s="22"/>
      <c r="B26" s="92"/>
      <c r="C26" s="93"/>
      <c r="D26" s="93"/>
      <c r="E26" s="93"/>
      <c r="F26" s="93"/>
      <c r="G26" s="93"/>
      <c r="H26" s="22"/>
    </row>
    <row r="27" spans="1:9" ht="16.5" thickBot="1" x14ac:dyDescent="0.3">
      <c r="A27" s="22"/>
      <c r="B27" s="92"/>
      <c r="C27" s="251"/>
      <c r="D27" s="251" t="s">
        <v>287</v>
      </c>
      <c r="E27" s="444">
        <f>SUM(D25:E25)</f>
        <v>0</v>
      </c>
      <c r="F27" s="659" t="s">
        <v>443</v>
      </c>
      <c r="G27" s="660"/>
      <c r="H27" s="22"/>
    </row>
    <row r="28" spans="1:9" ht="15.75" x14ac:dyDescent="0.25">
      <c r="A28" s="22"/>
      <c r="B28" s="92"/>
      <c r="C28" s="92"/>
      <c r="D28" s="100"/>
      <c r="E28" s="93"/>
      <c r="F28" s="93"/>
      <c r="G28" s="93"/>
      <c r="H28" s="22"/>
    </row>
    <row r="29" spans="1:9" ht="16.5" thickBot="1" x14ac:dyDescent="0.3">
      <c r="A29" s="22"/>
      <c r="B29" s="99" t="s">
        <v>217</v>
      </c>
      <c r="C29" s="496" t="str">
        <f>'Worksheet Prep'!D4</f>
        <v/>
      </c>
      <c r="D29" s="496"/>
      <c r="E29" s="99" t="s">
        <v>218</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geqJJ8IjEkTr8OBqzzNaSF8m43nIe7jlbfHge8D5SgkOqhyfxIBTY9U8zg4FhRncStt+CDVqjcWgdj8z01XN2A==" saltValue="PIXB/eJn+KZM7UCG9qPM8g==" spinCount="100000" sheet="1" objects="1" scenarios="1" selectLockedCells="1"/>
  <mergeCells count="18">
    <mergeCell ref="C29:D29"/>
    <mergeCell ref="D10:G10"/>
    <mergeCell ref="D11:G11"/>
    <mergeCell ref="D12:G12"/>
    <mergeCell ref="B13:G15"/>
    <mergeCell ref="B16:B17"/>
    <mergeCell ref="C16:C17"/>
    <mergeCell ref="D16:D17"/>
    <mergeCell ref="E16:E17"/>
    <mergeCell ref="F16:F17"/>
    <mergeCell ref="G16:G17"/>
    <mergeCell ref="F27:G27"/>
    <mergeCell ref="D9:G9"/>
    <mergeCell ref="B2:G2"/>
    <mergeCell ref="B4:G4"/>
    <mergeCell ref="D6:G6"/>
    <mergeCell ref="D7:G7"/>
    <mergeCell ref="D8:G8"/>
  </mergeCells>
  <conditionalFormatting sqref="D18">
    <cfRule type="cellIs" dxfId="804" priority="41" operator="lessThan">
      <formula>0%</formula>
    </cfRule>
    <cfRule type="cellIs" dxfId="803" priority="42" operator="greaterThan">
      <formula>H18</formula>
    </cfRule>
    <cfRule type="cellIs" dxfId="802" priority="43" operator="between">
      <formula>0%</formula>
      <formula>H18</formula>
    </cfRule>
  </conditionalFormatting>
  <conditionalFormatting sqref="E18">
    <cfRule type="cellIs" dxfId="801" priority="38" operator="lessThan">
      <formula>0%</formula>
    </cfRule>
    <cfRule type="cellIs" dxfId="800" priority="39" operator="greaterThan">
      <formula>I18</formula>
    </cfRule>
    <cfRule type="cellIs" dxfId="799" priority="40" operator="between">
      <formula>0%</formula>
      <formula>I18</formula>
    </cfRule>
  </conditionalFormatting>
  <conditionalFormatting sqref="E19">
    <cfRule type="cellIs" dxfId="798" priority="35" operator="lessThan">
      <formula>0%</formula>
    </cfRule>
    <cfRule type="cellIs" dxfId="797" priority="36" operator="greaterThan">
      <formula>I19</formula>
    </cfRule>
    <cfRule type="cellIs" dxfId="796" priority="37" operator="between">
      <formula>0%</formula>
      <formula>I19</formula>
    </cfRule>
  </conditionalFormatting>
  <conditionalFormatting sqref="D19">
    <cfRule type="cellIs" dxfId="795" priority="32" operator="lessThan">
      <formula>0%</formula>
    </cfRule>
    <cfRule type="cellIs" dxfId="794" priority="33" operator="greaterThan">
      <formula>H19</formula>
    </cfRule>
    <cfRule type="cellIs" dxfId="793" priority="34" operator="between">
      <formula>0%</formula>
      <formula>H19</formula>
    </cfRule>
  </conditionalFormatting>
  <conditionalFormatting sqref="D20">
    <cfRule type="cellIs" dxfId="792" priority="29" operator="lessThan">
      <formula>0%</formula>
    </cfRule>
    <cfRule type="cellIs" dxfId="791" priority="30" operator="greaterThan">
      <formula>H20</formula>
    </cfRule>
    <cfRule type="cellIs" dxfId="790" priority="31" operator="between">
      <formula>0%</formula>
      <formula>H20</formula>
    </cfRule>
  </conditionalFormatting>
  <conditionalFormatting sqref="E20">
    <cfRule type="cellIs" dxfId="789" priority="26" operator="lessThan">
      <formula>0%</formula>
    </cfRule>
    <cfRule type="cellIs" dxfId="788" priority="27" operator="greaterThan">
      <formula>I20</formula>
    </cfRule>
    <cfRule type="cellIs" dxfId="787" priority="28" operator="between">
      <formula>0%</formula>
      <formula>I20</formula>
    </cfRule>
  </conditionalFormatting>
  <conditionalFormatting sqref="E21">
    <cfRule type="cellIs" dxfId="786" priority="23" operator="lessThan">
      <formula>0%</formula>
    </cfRule>
    <cfRule type="cellIs" dxfId="785" priority="24" operator="greaterThan">
      <formula>I21</formula>
    </cfRule>
    <cfRule type="cellIs" dxfId="784" priority="25" operator="between">
      <formula>0%</formula>
      <formula>I21</formula>
    </cfRule>
  </conditionalFormatting>
  <conditionalFormatting sqref="D21">
    <cfRule type="cellIs" dxfId="783" priority="20" operator="lessThan">
      <formula>0%</formula>
    </cfRule>
    <cfRule type="cellIs" dxfId="782" priority="21" operator="greaterThan">
      <formula>H21</formula>
    </cfRule>
    <cfRule type="cellIs" dxfId="781" priority="22" operator="between">
      <formula>0%</formula>
      <formula>H21</formula>
    </cfRule>
  </conditionalFormatting>
  <conditionalFormatting sqref="D22">
    <cfRule type="cellIs" dxfId="780" priority="17" operator="lessThan">
      <formula>0%</formula>
    </cfRule>
    <cfRule type="cellIs" dxfId="779" priority="18" operator="greaterThan">
      <formula>H22</formula>
    </cfRule>
    <cfRule type="cellIs" dxfId="778" priority="19" operator="between">
      <formula>0%</formula>
      <formula>H22</formula>
    </cfRule>
  </conditionalFormatting>
  <conditionalFormatting sqref="E22">
    <cfRule type="cellIs" dxfId="777" priority="14" operator="lessThan">
      <formula>0%</formula>
    </cfRule>
    <cfRule type="cellIs" dxfId="776" priority="15" operator="greaterThan">
      <formula>I22</formula>
    </cfRule>
    <cfRule type="cellIs" dxfId="775" priority="16" operator="between">
      <formula>0%</formula>
      <formula>I22</formula>
    </cfRule>
  </conditionalFormatting>
  <conditionalFormatting sqref="E23">
    <cfRule type="cellIs" dxfId="774" priority="11" operator="lessThan">
      <formula>0%</formula>
    </cfRule>
    <cfRule type="cellIs" dxfId="773" priority="12" operator="greaterThan">
      <formula>I23</formula>
    </cfRule>
    <cfRule type="cellIs" dxfId="772" priority="13" operator="between">
      <formula>0%</formula>
      <formula>I23</formula>
    </cfRule>
  </conditionalFormatting>
  <conditionalFormatting sqref="D23">
    <cfRule type="cellIs" dxfId="771" priority="8" operator="lessThan">
      <formula>0%</formula>
    </cfRule>
    <cfRule type="cellIs" dxfId="770" priority="9" operator="greaterThan">
      <formula>H23</formula>
    </cfRule>
    <cfRule type="cellIs" dxfId="769" priority="10" operator="between">
      <formula>0%</formula>
      <formula>H23</formula>
    </cfRule>
  </conditionalFormatting>
  <conditionalFormatting sqref="D24">
    <cfRule type="cellIs" dxfId="768" priority="5" operator="lessThan">
      <formula>0%</formula>
    </cfRule>
    <cfRule type="cellIs" dxfId="767" priority="6" operator="greaterThan">
      <formula>H24</formula>
    </cfRule>
    <cfRule type="cellIs" dxfId="766" priority="7" operator="between">
      <formula>0%</formula>
      <formula>H24</formula>
    </cfRule>
  </conditionalFormatting>
  <conditionalFormatting sqref="E24">
    <cfRule type="cellIs" dxfId="765" priority="2" operator="lessThan">
      <formula>0%</formula>
    </cfRule>
    <cfRule type="cellIs" dxfId="764" priority="3" operator="greaterThan">
      <formula>I24</formula>
    </cfRule>
    <cfRule type="cellIs" dxfId="763" priority="4" operator="between">
      <formula>0%</formula>
      <formula>I24</formula>
    </cfRule>
  </conditionalFormatting>
  <pageMargins left="0.7" right="0.7" top="0.75" bottom="0.75" header="0.3" footer="0.3"/>
  <pageSetup scale="66"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A4568504-6718-4FFE-A9B9-A345D254D2EA}">
            <xm:f>-1 * 'STATE CODES (NUM) &amp; MIN-MAX'!$E$30</xm:f>
            <xm:f>'STATE CODES (NUM) &amp; MIN-MAX'!$E$30</xm:f>
            <x14:dxf>
              <font>
                <color theme="5" tint="-0.499984740745262"/>
              </font>
              <fill>
                <patternFill>
                  <bgColor rgb="FFFFCCCC"/>
                </patternFill>
              </fill>
            </x14:dxf>
          </x14:cfRule>
          <xm:sqref>E27</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A1:I31"/>
  <sheetViews>
    <sheetView showGridLines="0" showRowColHeaders="0" zoomScale="90" zoomScaleNormal="90" workbookViewId="0">
      <selection activeCell="D7" sqref="D7:G7"/>
    </sheetView>
  </sheetViews>
  <sheetFormatPr defaultRowHeight="15" x14ac:dyDescent="0.25"/>
  <cols>
    <col min="1" max="1" width="6.42578125" customWidth="1"/>
    <col min="2" max="2" width="24.5703125" customWidth="1"/>
    <col min="3" max="3" width="34.7109375"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317</v>
      </c>
      <c r="C2" s="503"/>
      <c r="D2" s="503"/>
      <c r="E2" s="503"/>
      <c r="F2" s="503"/>
      <c r="G2" s="642"/>
      <c r="H2" s="22"/>
    </row>
    <row r="3" spans="1:8" ht="15.75" x14ac:dyDescent="0.25">
      <c r="A3" s="22"/>
      <c r="B3" s="92"/>
      <c r="C3" s="93"/>
      <c r="D3" s="93"/>
      <c r="E3" s="93"/>
      <c r="F3" s="93"/>
      <c r="G3" s="93"/>
      <c r="H3" s="22"/>
    </row>
    <row r="4" spans="1:8" ht="20.25" x14ac:dyDescent="0.3">
      <c r="A4" s="22"/>
      <c r="B4" s="637" t="s">
        <v>318</v>
      </c>
      <c r="C4" s="637"/>
      <c r="D4" s="637"/>
      <c r="E4" s="637"/>
      <c r="F4" s="637"/>
      <c r="G4" s="637"/>
      <c r="H4" s="22"/>
    </row>
    <row r="5" spans="1:8" ht="16.5" thickBot="1" x14ac:dyDescent="0.3">
      <c r="A5" s="22"/>
      <c r="B5" s="92"/>
      <c r="C5" s="93"/>
      <c r="D5" s="93"/>
      <c r="E5" s="93"/>
      <c r="F5" s="93"/>
      <c r="G5" s="93"/>
      <c r="H5" s="22"/>
    </row>
    <row r="6" spans="1:8" ht="15.75" x14ac:dyDescent="0.25">
      <c r="A6" s="22"/>
      <c r="B6" s="292" t="s">
        <v>193</v>
      </c>
      <c r="C6" s="293"/>
      <c r="D6" s="690" t="str">
        <f>IF('Worksheet Prep'!D3&lt;&gt;"",'Worksheet Prep'!D3,"")</f>
        <v/>
      </c>
      <c r="E6" s="691"/>
      <c r="F6" s="691"/>
      <c r="G6" s="692"/>
      <c r="H6" s="22"/>
    </row>
    <row r="7" spans="1:8" ht="15.75" x14ac:dyDescent="0.25">
      <c r="A7" s="22"/>
      <c r="B7" s="294" t="s">
        <v>272</v>
      </c>
      <c r="C7" s="295"/>
      <c r="D7" s="669"/>
      <c r="E7" s="670"/>
      <c r="F7" s="670"/>
      <c r="G7" s="671"/>
      <c r="H7" s="22"/>
    </row>
    <row r="8" spans="1:8" ht="15.75" x14ac:dyDescent="0.25">
      <c r="A8" s="22"/>
      <c r="B8" s="294" t="s">
        <v>319</v>
      </c>
      <c r="C8" s="295"/>
      <c r="D8" s="687" t="str">
        <f>IF('Worksheet Prep'!G5&lt;&gt;"",'Worksheet Prep'!G5,"")</f>
        <v/>
      </c>
      <c r="E8" s="688"/>
      <c r="F8" s="688"/>
      <c r="G8" s="689"/>
      <c r="H8" s="22"/>
    </row>
    <row r="9" spans="1:8" ht="15.75" x14ac:dyDescent="0.25">
      <c r="A9" s="22"/>
      <c r="B9" s="294" t="s">
        <v>93</v>
      </c>
      <c r="C9" s="295"/>
      <c r="D9" s="687" t="str">
        <f>IF('Worksheet Prep'!C5&lt;&gt;"",'Worksheet Prep'!C5,"")</f>
        <v/>
      </c>
      <c r="E9" s="688"/>
      <c r="F9" s="688"/>
      <c r="G9" s="689"/>
      <c r="H9" s="22"/>
    </row>
    <row r="10" spans="1:8" ht="15.75" customHeight="1" x14ac:dyDescent="0.25">
      <c r="A10" s="22"/>
      <c r="B10" s="294" t="s">
        <v>321</v>
      </c>
      <c r="C10" s="295"/>
      <c r="D10" s="669"/>
      <c r="E10" s="670"/>
      <c r="F10" s="670"/>
      <c r="G10" s="671"/>
      <c r="H10" s="22"/>
    </row>
    <row r="11" spans="1:8" ht="15.75" x14ac:dyDescent="0.25">
      <c r="A11" s="22"/>
      <c r="B11" s="294" t="s">
        <v>196</v>
      </c>
      <c r="C11" s="295"/>
      <c r="D11" s="693" t="str">
        <f>'Additional Info'!F2</f>
        <v>Praetorian Insurance - 3501</v>
      </c>
      <c r="E11" s="654"/>
      <c r="F11" s="654"/>
      <c r="G11" s="694"/>
      <c r="H11" s="22"/>
    </row>
    <row r="12" spans="1:8" ht="16.5" thickBot="1" x14ac:dyDescent="0.3">
      <c r="A12" s="22"/>
      <c r="B12" s="296" t="s">
        <v>197</v>
      </c>
      <c r="C12" s="297"/>
      <c r="D12" s="695">
        <f>VLOOKUP(D11,'STATE CODES (NUM) &amp; MIN-MAX'!B56:D58,3,FALSE)</f>
        <v>21172</v>
      </c>
      <c r="E12" s="696"/>
      <c r="F12" s="696"/>
      <c r="G12" s="697"/>
      <c r="H12" s="22"/>
    </row>
    <row r="13" spans="1:8" x14ac:dyDescent="0.25">
      <c r="A13" s="22"/>
      <c r="B13" s="698" t="s">
        <v>316</v>
      </c>
      <c r="C13" s="698"/>
      <c r="D13" s="698"/>
      <c r="E13" s="698"/>
      <c r="F13" s="698"/>
      <c r="G13" s="698"/>
      <c r="H13" s="22"/>
    </row>
    <row r="14" spans="1:8" x14ac:dyDescent="0.25">
      <c r="A14" s="22"/>
      <c r="B14" s="699"/>
      <c r="C14" s="699"/>
      <c r="D14" s="699"/>
      <c r="E14" s="699"/>
      <c r="F14" s="699"/>
      <c r="G14" s="699"/>
      <c r="H14" s="22"/>
    </row>
    <row r="15" spans="1:8" ht="15.75" thickBot="1" x14ac:dyDescent="0.3">
      <c r="A15" s="22"/>
      <c r="B15" s="700"/>
      <c r="C15" s="700"/>
      <c r="D15" s="700"/>
      <c r="E15" s="700"/>
      <c r="F15" s="700"/>
      <c r="G15" s="700"/>
      <c r="H15" s="22"/>
    </row>
    <row r="16" spans="1:8" x14ac:dyDescent="0.25">
      <c r="A16" s="22"/>
      <c r="B16" s="497" t="s">
        <v>198</v>
      </c>
      <c r="C16" s="497" t="s">
        <v>199</v>
      </c>
      <c r="D16" s="497" t="s">
        <v>320</v>
      </c>
      <c r="E16" s="497" t="s">
        <v>201</v>
      </c>
      <c r="F16" s="497" t="s">
        <v>202</v>
      </c>
      <c r="G16" s="497" t="s">
        <v>203</v>
      </c>
      <c r="H16" s="22"/>
    </row>
    <row r="17" spans="1:9" ht="15.75" thickBot="1" x14ac:dyDescent="0.3">
      <c r="A17" s="22"/>
      <c r="B17" s="498"/>
      <c r="C17" s="701"/>
      <c r="D17" s="701"/>
      <c r="E17" s="701"/>
      <c r="F17" s="701"/>
      <c r="G17" s="701"/>
      <c r="H17" s="22"/>
    </row>
    <row r="18" spans="1:9" ht="45" customHeight="1" thickBot="1" x14ac:dyDescent="0.3">
      <c r="A18" s="22"/>
      <c r="B18" s="272" t="s">
        <v>204</v>
      </c>
      <c r="C18" s="135" t="s">
        <v>205</v>
      </c>
      <c r="D18" s="346">
        <v>0</v>
      </c>
      <c r="E18" s="346">
        <v>0</v>
      </c>
      <c r="F18" s="441"/>
      <c r="G18" s="408" t="s">
        <v>206</v>
      </c>
      <c r="H18" s="407">
        <v>0.1</v>
      </c>
      <c r="I18" s="407">
        <v>0.1</v>
      </c>
    </row>
    <row r="19" spans="1:9" ht="45" customHeight="1" thickBot="1" x14ac:dyDescent="0.3">
      <c r="A19" s="22"/>
      <c r="B19" s="273" t="s">
        <v>207</v>
      </c>
      <c r="C19" s="136" t="s">
        <v>205</v>
      </c>
      <c r="D19" s="348">
        <v>0</v>
      </c>
      <c r="E19" s="348">
        <v>0</v>
      </c>
      <c r="F19" s="442"/>
      <c r="G19" s="409" t="s">
        <v>206</v>
      </c>
      <c r="H19" s="407">
        <v>0.1</v>
      </c>
      <c r="I19" s="407">
        <v>0.1</v>
      </c>
    </row>
    <row r="20" spans="1:9" ht="45" customHeight="1" thickBot="1" x14ac:dyDescent="0.3">
      <c r="A20" s="22"/>
      <c r="B20" s="273" t="s">
        <v>208</v>
      </c>
      <c r="C20" s="137" t="s">
        <v>209</v>
      </c>
      <c r="D20" s="348">
        <v>0</v>
      </c>
      <c r="E20" s="348">
        <v>0</v>
      </c>
      <c r="F20" s="442"/>
      <c r="G20" s="409" t="s">
        <v>206</v>
      </c>
      <c r="H20" s="407">
        <v>0.05</v>
      </c>
      <c r="I20" s="407">
        <v>0.05</v>
      </c>
    </row>
    <row r="21" spans="1:9" ht="45" customHeight="1" thickBot="1" x14ac:dyDescent="0.3">
      <c r="A21" s="22"/>
      <c r="B21" s="273" t="s">
        <v>210</v>
      </c>
      <c r="C21" s="137" t="s">
        <v>209</v>
      </c>
      <c r="D21" s="348">
        <v>0</v>
      </c>
      <c r="E21" s="348">
        <v>0</v>
      </c>
      <c r="F21" s="442"/>
      <c r="G21" s="409" t="s">
        <v>206</v>
      </c>
      <c r="H21" s="407">
        <v>0.05</v>
      </c>
      <c r="I21" s="407">
        <v>0.05</v>
      </c>
    </row>
    <row r="22" spans="1:9" ht="45" customHeight="1" thickBot="1" x14ac:dyDescent="0.3">
      <c r="A22" s="22"/>
      <c r="B22" s="273" t="s">
        <v>288</v>
      </c>
      <c r="C22" s="137" t="s">
        <v>205</v>
      </c>
      <c r="D22" s="348">
        <v>0</v>
      </c>
      <c r="E22" s="348">
        <v>0</v>
      </c>
      <c r="F22" s="442"/>
      <c r="G22" s="409" t="s">
        <v>206</v>
      </c>
      <c r="H22" s="407">
        <v>0.1</v>
      </c>
      <c r="I22" s="407">
        <v>0.1</v>
      </c>
    </row>
    <row r="23" spans="1:9" ht="45" customHeight="1" thickBot="1" x14ac:dyDescent="0.3">
      <c r="A23" s="22"/>
      <c r="B23" s="273" t="s">
        <v>289</v>
      </c>
      <c r="C23" s="137" t="s">
        <v>209</v>
      </c>
      <c r="D23" s="348">
        <v>0</v>
      </c>
      <c r="E23" s="348">
        <v>0</v>
      </c>
      <c r="F23" s="442"/>
      <c r="G23" s="409" t="s">
        <v>206</v>
      </c>
      <c r="H23" s="407">
        <v>0.05</v>
      </c>
      <c r="I23" s="407">
        <v>0.05</v>
      </c>
    </row>
    <row r="24" spans="1:9" ht="45" customHeight="1" thickBot="1" x14ac:dyDescent="0.3">
      <c r="A24" s="22"/>
      <c r="B24" s="274" t="s">
        <v>213</v>
      </c>
      <c r="C24" s="139" t="s">
        <v>209</v>
      </c>
      <c r="D24" s="447">
        <v>0</v>
      </c>
      <c r="E24" s="447">
        <v>0</v>
      </c>
      <c r="F24" s="443"/>
      <c r="G24" s="410" t="s">
        <v>206</v>
      </c>
      <c r="H24" s="407">
        <v>0.05</v>
      </c>
      <c r="I24" s="407">
        <v>0.05</v>
      </c>
    </row>
    <row r="25" spans="1:9" ht="16.5" thickBot="1" x14ac:dyDescent="0.3">
      <c r="A25" s="22"/>
      <c r="B25" s="92" t="s">
        <v>214</v>
      </c>
      <c r="C25" s="93"/>
      <c r="D25" s="299">
        <f>-1 * SUM(D18:D24)</f>
        <v>0</v>
      </c>
      <c r="E25" s="300">
        <f>SUM(E18:E24)</f>
        <v>0</v>
      </c>
      <c r="F25" s="93"/>
      <c r="G25" s="93"/>
      <c r="H25" s="22"/>
    </row>
    <row r="26" spans="1:9" ht="15.75" x14ac:dyDescent="0.25">
      <c r="A26" s="22"/>
      <c r="B26" s="92"/>
      <c r="C26" s="93"/>
      <c r="D26" s="93"/>
      <c r="E26" s="93"/>
      <c r="F26" s="93"/>
      <c r="G26" s="93"/>
      <c r="H26" s="22"/>
    </row>
    <row r="27" spans="1:9" ht="16.5" thickBot="1" x14ac:dyDescent="0.3">
      <c r="A27" s="22"/>
      <c r="B27" s="92"/>
      <c r="C27" s="251"/>
      <c r="D27" s="251" t="s">
        <v>287</v>
      </c>
      <c r="E27" s="444">
        <f>SUM(D25:E25)</f>
        <v>0</v>
      </c>
      <c r="F27" s="659" t="s">
        <v>443</v>
      </c>
      <c r="G27" s="660"/>
      <c r="H27" s="22"/>
    </row>
    <row r="28" spans="1:9" ht="15.75" x14ac:dyDescent="0.25">
      <c r="A28" s="22"/>
      <c r="B28" s="92"/>
      <c r="C28" s="92"/>
      <c r="D28" s="100"/>
      <c r="E28" s="93"/>
      <c r="F28" s="93"/>
      <c r="G28" s="93"/>
      <c r="H28" s="22"/>
    </row>
    <row r="29" spans="1:9" ht="16.5" thickBot="1" x14ac:dyDescent="0.3">
      <c r="A29" s="22"/>
      <c r="B29" s="99" t="s">
        <v>217</v>
      </c>
      <c r="C29" s="496" t="str">
        <f>'Worksheet Prep'!D4</f>
        <v/>
      </c>
      <c r="D29" s="496"/>
      <c r="E29" s="99" t="s">
        <v>218</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D0x+QwCzGQ/DLBF/SZQ1LtMixDxynRA4B8rJy4863etQqLkm85m95DRxxeqduNuCDb/9zgxWVXGJRoY85pJmlw==" saltValue="GJ84PZ4lsn3OcpibYDZfkA==" spinCount="100000" sheet="1" objects="1" scenarios="1" selectLockedCells="1"/>
  <mergeCells count="18">
    <mergeCell ref="C29:D29"/>
    <mergeCell ref="B13:G15"/>
    <mergeCell ref="B16:B17"/>
    <mergeCell ref="C16:C17"/>
    <mergeCell ref="D16:D17"/>
    <mergeCell ref="E16:E17"/>
    <mergeCell ref="F16:F17"/>
    <mergeCell ref="G16:G17"/>
    <mergeCell ref="F27:G27"/>
    <mergeCell ref="D11:G11"/>
    <mergeCell ref="B2:G2"/>
    <mergeCell ref="B4:G4"/>
    <mergeCell ref="D12:G12"/>
    <mergeCell ref="D6:G6"/>
    <mergeCell ref="D7:G7"/>
    <mergeCell ref="D8:G8"/>
    <mergeCell ref="D9:G9"/>
    <mergeCell ref="D10:G10"/>
  </mergeCells>
  <conditionalFormatting sqref="D18">
    <cfRule type="cellIs" dxfId="761" priority="41" operator="lessThan">
      <formula>0%</formula>
    </cfRule>
    <cfRule type="cellIs" dxfId="760" priority="42" operator="greaterThan">
      <formula>H18</formula>
    </cfRule>
    <cfRule type="cellIs" dxfId="759" priority="43" operator="between">
      <formula>0%</formula>
      <formula>H18</formula>
    </cfRule>
  </conditionalFormatting>
  <conditionalFormatting sqref="E18">
    <cfRule type="cellIs" dxfId="758" priority="37" operator="lessThan">
      <formula>0%</formula>
    </cfRule>
    <cfRule type="cellIs" dxfId="757" priority="38" operator="greaterThan">
      <formula>I18</formula>
    </cfRule>
    <cfRule type="cellIs" dxfId="756" priority="39" operator="between">
      <formula>0%</formula>
      <formula>I18</formula>
    </cfRule>
  </conditionalFormatting>
  <conditionalFormatting sqref="E19">
    <cfRule type="cellIs" dxfId="755" priority="34" operator="lessThan">
      <formula>0%</formula>
    </cfRule>
    <cfRule type="cellIs" dxfId="754" priority="35" operator="greaterThan">
      <formula>I19</formula>
    </cfRule>
    <cfRule type="cellIs" dxfId="753" priority="36" operator="between">
      <formula>0%</formula>
      <formula>I19</formula>
    </cfRule>
  </conditionalFormatting>
  <conditionalFormatting sqref="D19">
    <cfRule type="cellIs" dxfId="752" priority="31" operator="lessThan">
      <formula>0%</formula>
    </cfRule>
    <cfRule type="cellIs" dxfId="751" priority="32" operator="greaterThan">
      <formula>H19</formula>
    </cfRule>
    <cfRule type="cellIs" dxfId="750" priority="33" operator="between">
      <formula>0%</formula>
      <formula>H19</formula>
    </cfRule>
  </conditionalFormatting>
  <conditionalFormatting sqref="D20">
    <cfRule type="cellIs" dxfId="749" priority="28" operator="lessThan">
      <formula>0%</formula>
    </cfRule>
    <cfRule type="cellIs" dxfId="748" priority="29" operator="greaterThan">
      <formula>H20</formula>
    </cfRule>
    <cfRule type="cellIs" dxfId="747" priority="30" operator="between">
      <formula>0%</formula>
      <formula>H20</formula>
    </cfRule>
  </conditionalFormatting>
  <conditionalFormatting sqref="E20">
    <cfRule type="cellIs" dxfId="746" priority="25" operator="lessThan">
      <formula>0%</formula>
    </cfRule>
    <cfRule type="cellIs" dxfId="745" priority="26" operator="greaterThan">
      <formula>I20</formula>
    </cfRule>
    <cfRule type="cellIs" dxfId="744" priority="27" operator="between">
      <formula>0%</formula>
      <formula>I20</formula>
    </cfRule>
  </conditionalFormatting>
  <conditionalFormatting sqref="E21">
    <cfRule type="cellIs" dxfId="743" priority="22" operator="lessThan">
      <formula>0%</formula>
    </cfRule>
    <cfRule type="cellIs" dxfId="742" priority="23" operator="greaterThan">
      <formula>I21</formula>
    </cfRule>
    <cfRule type="cellIs" dxfId="741" priority="24" operator="between">
      <formula>0%</formula>
      <formula>I21</formula>
    </cfRule>
  </conditionalFormatting>
  <conditionalFormatting sqref="D21">
    <cfRule type="cellIs" dxfId="740" priority="19" operator="lessThan">
      <formula>0%</formula>
    </cfRule>
    <cfRule type="cellIs" dxfId="739" priority="20" operator="greaterThan">
      <formula>H21</formula>
    </cfRule>
    <cfRule type="cellIs" dxfId="738" priority="21" operator="between">
      <formula>0%</formula>
      <formula>H21</formula>
    </cfRule>
  </conditionalFormatting>
  <conditionalFormatting sqref="D22">
    <cfRule type="cellIs" dxfId="737" priority="16" operator="lessThan">
      <formula>0%</formula>
    </cfRule>
    <cfRule type="cellIs" dxfId="736" priority="17" operator="greaterThan">
      <formula>H22</formula>
    </cfRule>
    <cfRule type="cellIs" dxfId="735" priority="18" operator="between">
      <formula>0%</formula>
      <formula>H22</formula>
    </cfRule>
  </conditionalFormatting>
  <conditionalFormatting sqref="E22">
    <cfRule type="cellIs" dxfId="734" priority="13" operator="lessThan">
      <formula>0%</formula>
    </cfRule>
    <cfRule type="cellIs" dxfId="733" priority="14" operator="greaterThan">
      <formula>I22</formula>
    </cfRule>
    <cfRule type="cellIs" dxfId="732" priority="15" operator="between">
      <formula>0%</formula>
      <formula>I22</formula>
    </cfRule>
  </conditionalFormatting>
  <conditionalFormatting sqref="E23">
    <cfRule type="cellIs" dxfId="731" priority="10" operator="lessThan">
      <formula>0%</formula>
    </cfRule>
    <cfRule type="cellIs" dxfId="730" priority="11" operator="greaterThan">
      <formula>I23</formula>
    </cfRule>
    <cfRule type="cellIs" dxfId="729" priority="12" operator="between">
      <formula>0%</formula>
      <formula>I23</formula>
    </cfRule>
  </conditionalFormatting>
  <conditionalFormatting sqref="D23">
    <cfRule type="cellIs" dxfId="728" priority="7" operator="lessThan">
      <formula>0%</formula>
    </cfRule>
    <cfRule type="cellIs" dxfId="727" priority="8" operator="greaterThan">
      <formula>H23</formula>
    </cfRule>
    <cfRule type="cellIs" dxfId="726" priority="9" operator="between">
      <formula>0%</formula>
      <formula>H23</formula>
    </cfRule>
  </conditionalFormatting>
  <conditionalFormatting sqref="D24">
    <cfRule type="cellIs" dxfId="725" priority="4" operator="lessThan">
      <formula>0%</formula>
    </cfRule>
    <cfRule type="cellIs" dxfId="724" priority="5" operator="greaterThan">
      <formula>H24</formula>
    </cfRule>
    <cfRule type="cellIs" dxfId="723" priority="6" operator="between">
      <formula>0%</formula>
      <formula>H24</formula>
    </cfRule>
  </conditionalFormatting>
  <conditionalFormatting sqref="E24">
    <cfRule type="cellIs" dxfId="722" priority="1" operator="lessThan">
      <formula>0%</formula>
    </cfRule>
    <cfRule type="cellIs" dxfId="721" priority="2" operator="greaterThan">
      <formula>I24</formula>
    </cfRule>
    <cfRule type="cellIs" dxfId="720" priority="3" operator="between">
      <formula>0%</formula>
      <formula>I24</formula>
    </cfRule>
  </conditionalFormatting>
  <pageMargins left="0.7" right="0.7" top="0.75" bottom="0.75" header="0.3" footer="0.3"/>
  <pageSetup scale="66"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71F8BB6F-0276-4221-8B03-BDAB0BF4411C}">
            <xm:f>-1 * 'STATE CODES (NUM) &amp; MIN-MAX'!$E$29</xm:f>
            <xm:f>'STATE CODES (NUM) &amp; MIN-MAX'!$E$29</xm:f>
            <x14:dxf>
              <font>
                <color theme="5" tint="-0.499984740745262"/>
              </font>
              <fill>
                <patternFill>
                  <bgColor rgb="FFFFCCCC"/>
                </patternFill>
              </fill>
            </x14:dxf>
          </x14:cfRule>
          <xm:sqref>E27</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1">
    <pageSetUpPr fitToPage="1"/>
  </sheetPr>
  <dimension ref="B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0" style="22" hidden="1" customWidth="1"/>
    <col min="10" max="16384" width="9.140625" style="22"/>
  </cols>
  <sheetData>
    <row r="2" spans="2:8" ht="18" x14ac:dyDescent="0.25">
      <c r="B2" s="502" t="s">
        <v>192</v>
      </c>
      <c r="C2" s="503"/>
      <c r="D2" s="503"/>
      <c r="E2" s="503"/>
      <c r="F2" s="503"/>
      <c r="G2" s="503"/>
    </row>
    <row r="3" spans="2:8" ht="15.75" x14ac:dyDescent="0.25">
      <c r="B3" s="92"/>
      <c r="C3" s="92"/>
      <c r="D3" s="93"/>
      <c r="E3" s="93"/>
      <c r="F3" s="93"/>
      <c r="G3" s="93"/>
    </row>
    <row r="4" spans="2:8" ht="20.25" x14ac:dyDescent="0.3">
      <c r="B4" s="637" t="s">
        <v>124</v>
      </c>
      <c r="C4" s="637"/>
      <c r="D4" s="637"/>
      <c r="E4" s="637"/>
      <c r="F4" s="637"/>
      <c r="G4" s="637"/>
    </row>
    <row r="5" spans="2:8" ht="15.75" x14ac:dyDescent="0.25">
      <c r="B5" s="92"/>
      <c r="C5" s="92"/>
      <c r="D5" s="93"/>
      <c r="E5" s="93"/>
      <c r="F5" s="93"/>
      <c r="G5" s="93"/>
    </row>
    <row r="6" spans="2:8" ht="15.75" x14ac:dyDescent="0.25">
      <c r="B6" s="252" t="s">
        <v>193</v>
      </c>
      <c r="C6" s="242" t="str">
        <f>IF('Worksheet Prep'!D3&lt;&gt;"",'Worksheet Prep'!D3,"")</f>
        <v/>
      </c>
      <c r="D6" s="241"/>
      <c r="E6" s="241" t="s">
        <v>194</v>
      </c>
      <c r="F6" s="508" t="str">
        <f>IF('Worksheet Prep'!G5&lt;&gt;"",'Worksheet Prep'!G5,"")</f>
        <v/>
      </c>
      <c r="G6" s="508"/>
      <c r="H6" s="94"/>
    </row>
    <row r="7" spans="2:8" s="145" customFormat="1" ht="15.75" x14ac:dyDescent="0.25">
      <c r="B7" s="241"/>
      <c r="C7" s="97"/>
      <c r="D7" s="241"/>
      <c r="E7" s="241"/>
      <c r="F7" s="134"/>
      <c r="G7" s="134"/>
      <c r="H7" s="94"/>
    </row>
    <row r="8" spans="2:8" ht="15.75" x14ac:dyDescent="0.25">
      <c r="B8" s="252" t="s">
        <v>224</v>
      </c>
      <c r="C8" s="345"/>
      <c r="D8" s="241"/>
      <c r="E8" s="241" t="s">
        <v>195</v>
      </c>
      <c r="F8" s="509" t="str">
        <f>IF('Worksheet Prep'!C5&lt;&gt;"",'Worksheet Prep'!C5,"")</f>
        <v/>
      </c>
      <c r="G8" s="509"/>
      <c r="H8" s="95"/>
    </row>
    <row r="9" spans="2:8" s="145" customFormat="1" ht="15.75" x14ac:dyDescent="0.25">
      <c r="B9" s="241"/>
      <c r="C9" s="97"/>
      <c r="D9" s="241"/>
      <c r="E9" s="241"/>
      <c r="F9" s="133"/>
      <c r="G9" s="133"/>
      <c r="H9" s="95"/>
    </row>
    <row r="10" spans="2:8" ht="15.75" x14ac:dyDescent="0.25">
      <c r="B10" s="252" t="s">
        <v>196</v>
      </c>
      <c r="C10" s="242" t="str">
        <f>'Additional Info'!F2</f>
        <v>Praetorian Insurance - 3501</v>
      </c>
      <c r="D10" s="241"/>
      <c r="E10" s="241" t="s">
        <v>299</v>
      </c>
      <c r="F10" s="132" t="s">
        <v>124</v>
      </c>
      <c r="G10" s="101"/>
    </row>
    <row r="11" spans="2:8" ht="24" customHeight="1" x14ac:dyDescent="0.25">
      <c r="B11" s="252" t="s">
        <v>197</v>
      </c>
      <c r="C11" s="96">
        <f>VLOOKUP(C10,'STATE CODES (NUM) &amp; MIN-MAX'!B56:D58,3,FALSE)</f>
        <v>21172</v>
      </c>
      <c r="D11" s="501"/>
      <c r="E11" s="501"/>
      <c r="F11" s="93"/>
      <c r="G11" s="93"/>
    </row>
    <row r="12" spans="2:8" ht="15.75" x14ac:dyDescent="0.25">
      <c r="B12" s="252"/>
      <c r="C12" s="97"/>
      <c r="D12" s="240"/>
      <c r="E12" s="240"/>
      <c r="F12" s="93"/>
      <c r="G12" s="93"/>
    </row>
    <row r="13" spans="2:8" x14ac:dyDescent="0.25">
      <c r="B13" s="499" t="s">
        <v>316</v>
      </c>
      <c r="C13" s="499"/>
      <c r="D13" s="499"/>
      <c r="E13" s="499"/>
      <c r="F13" s="499"/>
      <c r="G13" s="499"/>
    </row>
    <row r="14" spans="2:8" ht="15.75" thickBot="1" x14ac:dyDescent="0.3">
      <c r="B14" s="500"/>
      <c r="C14" s="500"/>
      <c r="D14" s="500"/>
      <c r="E14" s="500"/>
      <c r="F14" s="500"/>
      <c r="G14" s="500"/>
    </row>
    <row r="15" spans="2:8" x14ac:dyDescent="0.25">
      <c r="B15" s="657" t="s">
        <v>198</v>
      </c>
      <c r="C15" s="497" t="s">
        <v>199</v>
      </c>
      <c r="D15" s="497" t="s">
        <v>200</v>
      </c>
      <c r="E15" s="497" t="s">
        <v>201</v>
      </c>
      <c r="F15" s="497" t="s">
        <v>202</v>
      </c>
      <c r="G15" s="497" t="s">
        <v>203</v>
      </c>
    </row>
    <row r="16" spans="2:8" ht="15.75" thickBot="1" x14ac:dyDescent="0.3">
      <c r="B16" s="658"/>
      <c r="C16" s="498"/>
      <c r="D16" s="498"/>
      <c r="E16" s="498"/>
      <c r="F16" s="498"/>
      <c r="G16" s="498"/>
    </row>
    <row r="17" spans="2:9" ht="45" customHeight="1" thickBot="1" x14ac:dyDescent="0.3">
      <c r="B17" s="273" t="s">
        <v>204</v>
      </c>
      <c r="C17" s="135" t="s">
        <v>205</v>
      </c>
      <c r="D17" s="346">
        <v>0</v>
      </c>
      <c r="E17" s="346">
        <v>0</v>
      </c>
      <c r="F17" s="364"/>
      <c r="G17" s="431" t="s">
        <v>206</v>
      </c>
      <c r="H17" s="407">
        <v>0.1</v>
      </c>
      <c r="I17" s="407">
        <v>0.1</v>
      </c>
    </row>
    <row r="18" spans="2:9" ht="45" customHeight="1" thickBot="1" x14ac:dyDescent="0.3">
      <c r="B18" s="273" t="s">
        <v>207</v>
      </c>
      <c r="C18" s="136" t="s">
        <v>205</v>
      </c>
      <c r="D18" s="348">
        <v>0</v>
      </c>
      <c r="E18" s="348">
        <v>0</v>
      </c>
      <c r="F18" s="366"/>
      <c r="G18" s="432" t="s">
        <v>206</v>
      </c>
      <c r="H18" s="407">
        <v>0.1</v>
      </c>
      <c r="I18" s="407">
        <v>0.1</v>
      </c>
    </row>
    <row r="19" spans="2:9" ht="45" customHeight="1" thickBot="1" x14ac:dyDescent="0.3">
      <c r="B19" s="273" t="s">
        <v>208</v>
      </c>
      <c r="C19" s="137" t="s">
        <v>209</v>
      </c>
      <c r="D19" s="348">
        <v>0</v>
      </c>
      <c r="E19" s="348">
        <v>0</v>
      </c>
      <c r="F19" s="366"/>
      <c r="G19" s="432" t="s">
        <v>206</v>
      </c>
      <c r="H19" s="407">
        <v>0.05</v>
      </c>
      <c r="I19" s="407">
        <v>0.05</v>
      </c>
    </row>
    <row r="20" spans="2:9" ht="45" customHeight="1" thickBot="1" x14ac:dyDescent="0.3">
      <c r="B20" s="273" t="s">
        <v>288</v>
      </c>
      <c r="C20" s="137" t="s">
        <v>205</v>
      </c>
      <c r="D20" s="348">
        <v>0</v>
      </c>
      <c r="E20" s="348">
        <v>0</v>
      </c>
      <c r="F20" s="366"/>
      <c r="G20" s="432" t="s">
        <v>206</v>
      </c>
      <c r="H20" s="407">
        <v>0.1</v>
      </c>
      <c r="I20" s="407">
        <v>0.1</v>
      </c>
    </row>
    <row r="21" spans="2:9" ht="45" customHeight="1" thickBot="1" x14ac:dyDescent="0.3">
      <c r="B21" s="273" t="s">
        <v>210</v>
      </c>
      <c r="C21" s="137" t="s">
        <v>209</v>
      </c>
      <c r="D21" s="348">
        <v>0</v>
      </c>
      <c r="E21" s="348">
        <v>0</v>
      </c>
      <c r="F21" s="366"/>
      <c r="G21" s="432" t="s">
        <v>206</v>
      </c>
      <c r="H21" s="407">
        <v>0.05</v>
      </c>
      <c r="I21" s="407">
        <v>0.05</v>
      </c>
    </row>
    <row r="22" spans="2:9" ht="45" customHeight="1" thickBot="1" x14ac:dyDescent="0.3">
      <c r="B22" s="273" t="s">
        <v>289</v>
      </c>
      <c r="C22" s="137" t="s">
        <v>209</v>
      </c>
      <c r="D22" s="348">
        <v>0</v>
      </c>
      <c r="E22" s="348">
        <v>0</v>
      </c>
      <c r="F22" s="366"/>
      <c r="G22" s="432" t="s">
        <v>206</v>
      </c>
      <c r="H22" s="407">
        <v>0.05</v>
      </c>
      <c r="I22" s="407">
        <v>0.05</v>
      </c>
    </row>
    <row r="23" spans="2:9" ht="45" customHeight="1" thickBot="1" x14ac:dyDescent="0.3">
      <c r="B23" s="274" t="s">
        <v>213</v>
      </c>
      <c r="C23" s="139" t="s">
        <v>209</v>
      </c>
      <c r="D23" s="447">
        <v>0</v>
      </c>
      <c r="E23" s="447">
        <v>0</v>
      </c>
      <c r="F23" s="369"/>
      <c r="G23" s="433" t="s">
        <v>206</v>
      </c>
      <c r="H23" s="407">
        <v>0.05</v>
      </c>
      <c r="I23" s="407">
        <v>0.05</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251"/>
      <c r="D26" s="251"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'Worksheet Prep'!D4</f>
        <v/>
      </c>
      <c r="D28" s="496"/>
      <c r="E28" s="99" t="s">
        <v>218</v>
      </c>
      <c r="F28" s="117" t="str">
        <f>IF('Worksheet Prep'!J6&lt;&gt;"",'Worksheet Prep'!J6,"")</f>
        <v/>
      </c>
      <c r="G28"/>
    </row>
  </sheetData>
  <sheetProtection algorithmName="SHA-512" hashValue="/UvtKcb64DJQU/tNeNN5ekRk7e8JE3wa26zdLRci1RmL8kKqGNU2qBuJ3QmD6XnyI2/YHd6QREDafEB9RGeW6Q==" saltValue="+jdhHc9Wnomr0b0BJyaigw==" spinCount="100000" sheet="1" objects="1" scenarios="1" selectLockedCells="1"/>
  <mergeCells count="14">
    <mergeCell ref="C28:D28"/>
    <mergeCell ref="B13:G14"/>
    <mergeCell ref="B15:B16"/>
    <mergeCell ref="C15:C16"/>
    <mergeCell ref="D15:D16"/>
    <mergeCell ref="E15:E16"/>
    <mergeCell ref="F15:F16"/>
    <mergeCell ref="G15:G16"/>
    <mergeCell ref="F26:G26"/>
    <mergeCell ref="D11:E11"/>
    <mergeCell ref="B2:G2"/>
    <mergeCell ref="B4:G4"/>
    <mergeCell ref="F6:G6"/>
    <mergeCell ref="F8:G8"/>
  </mergeCells>
  <conditionalFormatting sqref="D17">
    <cfRule type="cellIs" dxfId="718" priority="40" operator="lessThan">
      <formula>0%</formula>
    </cfRule>
    <cfRule type="cellIs" dxfId="717" priority="41" operator="greaterThan">
      <formula>H17</formula>
    </cfRule>
    <cfRule type="cellIs" dxfId="716" priority="42" operator="between">
      <formula>0%</formula>
      <formula>H17</formula>
    </cfRule>
  </conditionalFormatting>
  <conditionalFormatting sqref="E17">
    <cfRule type="cellIs" dxfId="715" priority="37" operator="lessThan">
      <formula>0%</formula>
    </cfRule>
    <cfRule type="cellIs" dxfId="714" priority="38" operator="greaterThan">
      <formula>I17</formula>
    </cfRule>
    <cfRule type="cellIs" dxfId="713" priority="39" operator="between">
      <formula>0%</formula>
      <formula>I17</formula>
    </cfRule>
  </conditionalFormatting>
  <conditionalFormatting sqref="E18">
    <cfRule type="cellIs" dxfId="712" priority="34" operator="lessThan">
      <formula>0%</formula>
    </cfRule>
    <cfRule type="cellIs" dxfId="711" priority="35" operator="greaterThan">
      <formula>I18</formula>
    </cfRule>
    <cfRule type="cellIs" dxfId="710" priority="36" operator="between">
      <formula>0%</formula>
      <formula>I18</formula>
    </cfRule>
  </conditionalFormatting>
  <conditionalFormatting sqref="D18">
    <cfRule type="cellIs" dxfId="709" priority="31" operator="lessThan">
      <formula>0%</formula>
    </cfRule>
    <cfRule type="cellIs" dxfId="708" priority="32" operator="greaterThan">
      <formula>H18</formula>
    </cfRule>
    <cfRule type="cellIs" dxfId="707" priority="33" operator="between">
      <formula>0%</formula>
      <formula>H18</formula>
    </cfRule>
  </conditionalFormatting>
  <conditionalFormatting sqref="D19">
    <cfRule type="cellIs" dxfId="706" priority="28" operator="lessThan">
      <formula>0%</formula>
    </cfRule>
    <cfRule type="cellIs" dxfId="705" priority="29" operator="greaterThan">
      <formula>H19</formula>
    </cfRule>
    <cfRule type="cellIs" dxfId="704" priority="30" operator="between">
      <formula>0%</formula>
      <formula>H19</formula>
    </cfRule>
  </conditionalFormatting>
  <conditionalFormatting sqref="E19">
    <cfRule type="cellIs" dxfId="703" priority="25" operator="lessThan">
      <formula>0%</formula>
    </cfRule>
    <cfRule type="cellIs" dxfId="702" priority="26" operator="greaterThan">
      <formula>I19</formula>
    </cfRule>
    <cfRule type="cellIs" dxfId="701" priority="27" operator="between">
      <formula>0%</formula>
      <formula>I19</formula>
    </cfRule>
  </conditionalFormatting>
  <conditionalFormatting sqref="E20">
    <cfRule type="cellIs" dxfId="700" priority="22" operator="lessThan">
      <formula>0%</formula>
    </cfRule>
    <cfRule type="cellIs" dxfId="699" priority="23" operator="greaterThan">
      <formula>I20</formula>
    </cfRule>
    <cfRule type="cellIs" dxfId="698" priority="24" operator="between">
      <formula>0%</formula>
      <formula>I20</formula>
    </cfRule>
  </conditionalFormatting>
  <conditionalFormatting sqref="D20">
    <cfRule type="cellIs" dxfId="697" priority="19" operator="lessThan">
      <formula>0%</formula>
    </cfRule>
    <cfRule type="cellIs" dxfId="696" priority="20" operator="greaterThan">
      <formula>H20</formula>
    </cfRule>
    <cfRule type="cellIs" dxfId="695" priority="21" operator="between">
      <formula>0%</formula>
      <formula>H20</formula>
    </cfRule>
  </conditionalFormatting>
  <conditionalFormatting sqref="D21">
    <cfRule type="cellIs" dxfId="694" priority="16" operator="lessThan">
      <formula>0%</formula>
    </cfRule>
    <cfRule type="cellIs" dxfId="693" priority="17" operator="greaterThan">
      <formula>H21</formula>
    </cfRule>
    <cfRule type="cellIs" dxfId="692" priority="18" operator="between">
      <formula>0%</formula>
      <formula>H21</formula>
    </cfRule>
  </conditionalFormatting>
  <conditionalFormatting sqref="E21">
    <cfRule type="cellIs" dxfId="691" priority="13" operator="lessThan">
      <formula>0%</formula>
    </cfRule>
    <cfRule type="cellIs" dxfId="690" priority="14" operator="greaterThan">
      <formula>I21</formula>
    </cfRule>
    <cfRule type="cellIs" dxfId="689" priority="15" operator="between">
      <formula>0%</formula>
      <formula>I21</formula>
    </cfRule>
  </conditionalFormatting>
  <conditionalFormatting sqref="E22">
    <cfRule type="cellIs" dxfId="688" priority="10" operator="lessThan">
      <formula>0%</formula>
    </cfRule>
    <cfRule type="cellIs" dxfId="687" priority="11" operator="greaterThan">
      <formula>I22</formula>
    </cfRule>
    <cfRule type="cellIs" dxfId="686" priority="12" operator="between">
      <formula>0%</formula>
      <formula>I22</formula>
    </cfRule>
  </conditionalFormatting>
  <conditionalFormatting sqref="D22">
    <cfRule type="cellIs" dxfId="685" priority="7" operator="lessThan">
      <formula>0%</formula>
    </cfRule>
    <cfRule type="cellIs" dxfId="684" priority="8" operator="greaterThan">
      <formula>H22</formula>
    </cfRule>
    <cfRule type="cellIs" dxfId="683" priority="9" operator="between">
      <formula>0%</formula>
      <formula>H22</formula>
    </cfRule>
  </conditionalFormatting>
  <conditionalFormatting sqref="D23">
    <cfRule type="cellIs" dxfId="682" priority="4" operator="lessThan">
      <formula>0%</formula>
    </cfRule>
    <cfRule type="cellIs" dxfId="681" priority="5" operator="greaterThan">
      <formula>H23</formula>
    </cfRule>
    <cfRule type="cellIs" dxfId="680" priority="6" operator="between">
      <formula>0%</formula>
      <formula>H23</formula>
    </cfRule>
  </conditionalFormatting>
  <conditionalFormatting sqref="E23">
    <cfRule type="cellIs" dxfId="679" priority="1" operator="lessThan">
      <formula>0%</formula>
    </cfRule>
    <cfRule type="cellIs" dxfId="678" priority="2" operator="greaterThan">
      <formula>I23</formula>
    </cfRule>
    <cfRule type="cellIs" dxfId="677"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3" operator="notBetween" id="{909B4809-0157-4268-B41F-93CB6EB19F1F}">
            <xm:f>-1 * 'STATE CODES (NUM) &amp; MIN-MAX'!$E$31</xm:f>
            <xm:f>'STATE CODES (NUM) &amp; MIN-MAX'!$E$31</xm:f>
            <x14:dxf>
              <font>
                <color theme="5" tint="-0.499984740745262"/>
              </font>
              <fill>
                <patternFill>
                  <bgColor rgb="FFFFCCCC"/>
                </patternFill>
              </fill>
            </x14:dxf>
          </x14:cfRule>
          <xm:sqref>E26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pageSetUpPr fitToPage="1"/>
  </sheetPr>
  <dimension ref="A1:O30"/>
  <sheetViews>
    <sheetView showGridLines="0" showRowColHeaders="0" zoomScale="90" zoomScaleNormal="90" workbookViewId="0">
      <selection activeCell="B11" sqref="B11:C12"/>
    </sheetView>
  </sheetViews>
  <sheetFormatPr defaultRowHeight="15" x14ac:dyDescent="0.25"/>
  <cols>
    <col min="1" max="1" width="6.42578125" customWidth="1"/>
    <col min="2" max="2" width="17.140625" customWidth="1"/>
    <col min="3" max="3" width="31" customWidth="1"/>
    <col min="4" max="4" width="16.42578125" customWidth="1"/>
    <col min="5" max="5" width="15.42578125" customWidth="1"/>
    <col min="6" max="6" width="17.140625" customWidth="1"/>
    <col min="7" max="7" width="21.28515625" customWidth="1"/>
    <col min="8" max="8" width="6.42578125" hidden="1" customWidth="1"/>
    <col min="9" max="9" width="0" hidden="1" customWidth="1"/>
    <col min="14" max="15" width="9.140625" style="454"/>
  </cols>
  <sheetData>
    <row r="1" spans="1:8" x14ac:dyDescent="0.25">
      <c r="A1" s="22"/>
      <c r="B1" s="22"/>
      <c r="C1" s="22"/>
      <c r="D1" s="22"/>
      <c r="E1" s="22"/>
      <c r="F1" s="22"/>
      <c r="G1" s="22"/>
      <c r="H1" s="22"/>
    </row>
    <row r="2" spans="1:8" ht="15.75" x14ac:dyDescent="0.25">
      <c r="A2" s="22"/>
      <c r="B2" s="722" t="s">
        <v>324</v>
      </c>
      <c r="C2" s="723"/>
      <c r="D2" s="723"/>
      <c r="E2" s="723"/>
      <c r="F2" s="723"/>
      <c r="G2" s="723"/>
      <c r="H2" s="22"/>
    </row>
    <row r="3" spans="1:8" ht="15.75" x14ac:dyDescent="0.25">
      <c r="A3" s="22"/>
      <c r="B3" s="301"/>
      <c r="C3" s="302"/>
      <c r="D3" s="302"/>
      <c r="E3" s="302"/>
      <c r="F3" s="302"/>
      <c r="G3" s="302"/>
      <c r="H3" s="22"/>
    </row>
    <row r="4" spans="1:8" ht="18" x14ac:dyDescent="0.25">
      <c r="A4" s="22"/>
      <c r="B4" s="724" t="s">
        <v>325</v>
      </c>
      <c r="C4" s="724"/>
      <c r="D4" s="724"/>
      <c r="E4" s="724"/>
      <c r="F4" s="724"/>
      <c r="G4" s="724"/>
      <c r="H4" s="22"/>
    </row>
    <row r="5" spans="1:8" ht="15.75" x14ac:dyDescent="0.25">
      <c r="A5" s="22"/>
      <c r="B5" s="303"/>
      <c r="C5" s="304"/>
      <c r="D5" s="304"/>
      <c r="E5" s="304"/>
      <c r="F5" s="304"/>
      <c r="G5" s="304"/>
      <c r="H5" s="22"/>
    </row>
    <row r="6" spans="1:8" x14ac:dyDescent="0.25">
      <c r="A6" s="22"/>
      <c r="B6" s="305" t="s">
        <v>303</v>
      </c>
      <c r="C6" s="306"/>
      <c r="D6" s="306"/>
      <c r="E6" s="306"/>
      <c r="F6" s="306"/>
      <c r="G6" s="306"/>
      <c r="H6" s="22"/>
    </row>
    <row r="7" spans="1:8" ht="16.5" thickBot="1" x14ac:dyDescent="0.3">
      <c r="A7" s="22"/>
      <c r="B7" s="307"/>
      <c r="C7" s="306"/>
      <c r="D7" s="306"/>
      <c r="E7" s="306"/>
      <c r="F7" s="306"/>
      <c r="G7" s="306"/>
      <c r="H7" s="22"/>
    </row>
    <row r="8" spans="1:8" ht="20.100000000000001" customHeight="1" x14ac:dyDescent="0.25">
      <c r="A8" s="22"/>
      <c r="B8" s="711" t="s">
        <v>228</v>
      </c>
      <c r="C8" s="719"/>
      <c r="D8" s="711" t="s">
        <v>229</v>
      </c>
      <c r="E8" s="719"/>
      <c r="F8" s="719"/>
      <c r="G8" s="712"/>
      <c r="H8" s="22"/>
    </row>
    <row r="9" spans="1:8" ht="24" customHeight="1" thickBot="1" x14ac:dyDescent="0.3">
      <c r="A9" s="22"/>
      <c r="B9" s="725" t="str">
        <f>IF('Worksheet Prep'!D3&lt;&gt;"",'Worksheet Prep'!D3,"")</f>
        <v/>
      </c>
      <c r="C9" s="726"/>
      <c r="D9" s="727" t="str">
        <f>IF('Worksheet Prep'!G5&lt;&gt;"",'Worksheet Prep'!G5,"")</f>
        <v/>
      </c>
      <c r="E9" s="700"/>
      <c r="F9" s="700"/>
      <c r="G9" s="728"/>
      <c r="H9" s="22"/>
    </row>
    <row r="10" spans="1:8" ht="20.100000000000001" customHeight="1" x14ac:dyDescent="0.25">
      <c r="A10" s="22"/>
      <c r="B10" s="711" t="s">
        <v>230</v>
      </c>
      <c r="C10" s="712"/>
      <c r="D10" s="719" t="s">
        <v>231</v>
      </c>
      <c r="E10" s="719"/>
      <c r="F10" s="719"/>
      <c r="G10" s="712"/>
      <c r="H10" s="22"/>
    </row>
    <row r="11" spans="1:8" ht="24" customHeight="1" thickBot="1" x14ac:dyDescent="0.3">
      <c r="A11" s="22"/>
      <c r="B11" s="713"/>
      <c r="C11" s="714"/>
      <c r="D11" s="729" t="str">
        <f>IF('Worksheet Prep'!C5&lt;&gt;"",'Worksheet Prep'!C5,"")</f>
        <v/>
      </c>
      <c r="E11" s="729"/>
      <c r="F11" s="729"/>
      <c r="G11" s="730"/>
      <c r="H11" s="22"/>
    </row>
    <row r="12" spans="1:8" ht="24" customHeight="1" thickBot="1" x14ac:dyDescent="0.3">
      <c r="A12" s="22"/>
      <c r="B12" s="715"/>
      <c r="C12" s="716"/>
      <c r="D12" s="711" t="s">
        <v>233</v>
      </c>
      <c r="E12" s="719"/>
      <c r="F12" s="719"/>
      <c r="G12" s="712"/>
      <c r="H12" s="22"/>
    </row>
    <row r="13" spans="1:8" ht="20.100000000000001" customHeight="1" thickBot="1" x14ac:dyDescent="0.3">
      <c r="A13" s="22"/>
      <c r="B13" s="725" t="s">
        <v>232</v>
      </c>
      <c r="C13" s="731"/>
      <c r="D13" s="308" t="s">
        <v>326</v>
      </c>
      <c r="E13" s="309" t="str">
        <f>D11</f>
        <v/>
      </c>
      <c r="F13" s="310" t="s">
        <v>327</v>
      </c>
      <c r="G13" s="311" t="str">
        <f>IF('Worksheet Prep'!E5&lt;&gt;"",'Worksheet Prep'!E5,"")</f>
        <v/>
      </c>
      <c r="H13" s="22"/>
    </row>
    <row r="14" spans="1:8" ht="24" customHeight="1" thickBot="1" x14ac:dyDescent="0.3">
      <c r="A14" s="22"/>
      <c r="B14" s="718" t="str">
        <f>'Additional Info'!F2</f>
        <v>Praetorian Insurance - 3501</v>
      </c>
      <c r="C14" s="506"/>
      <c r="D14" s="312" t="s">
        <v>328</v>
      </c>
      <c r="E14" s="313"/>
      <c r="F14" s="314"/>
      <c r="G14" s="315"/>
      <c r="H14" s="22"/>
    </row>
    <row r="15" spans="1:8" ht="20.100000000000001" customHeight="1" thickBot="1" x14ac:dyDescent="0.3">
      <c r="A15" s="22"/>
      <c r="B15" s="711" t="s">
        <v>234</v>
      </c>
      <c r="C15" s="719"/>
      <c r="D15" s="316"/>
      <c r="E15" s="317"/>
      <c r="F15" s="317"/>
      <c r="G15" s="318"/>
      <c r="H15" s="22"/>
    </row>
    <row r="16" spans="1:8" ht="24" customHeight="1" thickBot="1" x14ac:dyDescent="0.3">
      <c r="A16" s="22"/>
      <c r="B16" s="720">
        <f>VLOOKUP(B14,'STATE CODES (NUM) &amp; MIN-MAX'!B56:D58,3,FALSE)</f>
        <v>21172</v>
      </c>
      <c r="C16" s="721"/>
      <c r="D16" s="702" t="s">
        <v>329</v>
      </c>
      <c r="E16" s="703"/>
      <c r="F16" s="703"/>
      <c r="G16" s="704"/>
      <c r="H16" s="22"/>
    </row>
    <row r="17" spans="1:10" ht="20.100000000000001" customHeight="1" x14ac:dyDescent="0.25">
      <c r="A17" s="22"/>
      <c r="B17" s="711" t="s">
        <v>240</v>
      </c>
      <c r="C17" s="712"/>
      <c r="D17" s="705"/>
      <c r="E17" s="706"/>
      <c r="F17" s="706"/>
      <c r="G17" s="707"/>
      <c r="H17" s="22"/>
    </row>
    <row r="18" spans="1:10" ht="24" customHeight="1" thickBot="1" x14ac:dyDescent="0.3">
      <c r="A18" s="22"/>
      <c r="B18" s="713"/>
      <c r="C18" s="714"/>
      <c r="D18" s="708"/>
      <c r="E18" s="709"/>
      <c r="F18" s="709"/>
      <c r="G18" s="710"/>
      <c r="H18" s="22"/>
    </row>
    <row r="19" spans="1:10" ht="15.75" thickBot="1" x14ac:dyDescent="0.3">
      <c r="A19" s="22"/>
      <c r="B19" s="711"/>
      <c r="C19" s="719"/>
      <c r="D19" s="719"/>
      <c r="E19" s="719"/>
      <c r="F19" s="719"/>
      <c r="G19" s="712"/>
      <c r="H19" s="22"/>
    </row>
    <row r="20" spans="1:10" ht="39" thickBot="1" x14ac:dyDescent="0.3">
      <c r="A20" s="22"/>
      <c r="B20" s="732" t="s">
        <v>198</v>
      </c>
      <c r="C20" s="733"/>
      <c r="D20" s="319" t="s">
        <v>199</v>
      </c>
      <c r="E20" s="320" t="s">
        <v>200</v>
      </c>
      <c r="F20" s="320" t="s">
        <v>201</v>
      </c>
      <c r="G20" s="321" t="s">
        <v>244</v>
      </c>
      <c r="H20" s="22"/>
    </row>
    <row r="21" spans="1:10" ht="83.25" customHeight="1" thickBot="1" x14ac:dyDescent="0.3">
      <c r="A21" s="22"/>
      <c r="B21" s="734" t="s">
        <v>330</v>
      </c>
      <c r="C21" s="735"/>
      <c r="D21" s="322" t="s">
        <v>331</v>
      </c>
      <c r="E21" s="346">
        <v>0</v>
      </c>
      <c r="F21" s="346">
        <v>0</v>
      </c>
      <c r="G21" s="378"/>
      <c r="H21" s="407">
        <v>0.25</v>
      </c>
      <c r="I21" s="416">
        <v>0.25</v>
      </c>
    </row>
    <row r="22" spans="1:10" ht="30" customHeight="1" thickBot="1" x14ac:dyDescent="0.3">
      <c r="A22" s="22"/>
      <c r="B22" s="323"/>
      <c r="C22" s="324"/>
      <c r="D22" s="325" t="s">
        <v>250</v>
      </c>
      <c r="E22" s="326">
        <f>-1 * SUM(E21)</f>
        <v>0</v>
      </c>
      <c r="F22" s="327">
        <f>SUM(F21)</f>
        <v>0</v>
      </c>
      <c r="G22" s="328" t="s">
        <v>307</v>
      </c>
      <c r="H22" s="22"/>
    </row>
    <row r="23" spans="1:10" x14ac:dyDescent="0.25">
      <c r="A23" s="22"/>
      <c r="B23" s="329"/>
      <c r="C23" s="330"/>
      <c r="D23" s="330"/>
      <c r="E23" s="330"/>
      <c r="F23" s="330"/>
      <c r="G23" s="330"/>
      <c r="H23" s="22"/>
    </row>
    <row r="24" spans="1:10" x14ac:dyDescent="0.25">
      <c r="A24" s="22"/>
      <c r="B24" s="329"/>
      <c r="C24" s="331"/>
      <c r="D24" s="332"/>
      <c r="E24" s="332"/>
      <c r="F24" s="333"/>
      <c r="G24" s="333"/>
      <c r="H24" s="22"/>
    </row>
    <row r="25" spans="1:10" ht="15.75" thickBot="1" x14ac:dyDescent="0.3">
      <c r="A25" s="22"/>
      <c r="B25" s="717">
        <v>0</v>
      </c>
      <c r="C25" s="717"/>
      <c r="D25" s="331"/>
      <c r="E25" s="593">
        <f>SUM(E22:F22)</f>
        <v>0</v>
      </c>
      <c r="F25" s="593"/>
      <c r="G25" s="593"/>
      <c r="H25" s="22"/>
      <c r="J25" t="s">
        <v>443</v>
      </c>
    </row>
    <row r="26" spans="1:10" x14ac:dyDescent="0.25">
      <c r="A26" s="22"/>
      <c r="B26" s="334" t="s">
        <v>332</v>
      </c>
      <c r="C26" s="335"/>
      <c r="D26" s="336"/>
      <c r="E26" s="336" t="s">
        <v>215</v>
      </c>
      <c r="F26" s="336"/>
      <c r="G26" s="93"/>
      <c r="H26" s="22"/>
    </row>
    <row r="27" spans="1:10" x14ac:dyDescent="0.25">
      <c r="A27" s="22"/>
      <c r="B27" s="337"/>
      <c r="C27" s="335"/>
      <c r="D27" s="336"/>
      <c r="E27" s="336"/>
      <c r="F27" s="336"/>
      <c r="G27" s="93"/>
      <c r="H27" s="22"/>
    </row>
    <row r="28" spans="1:10" ht="16.5" thickBot="1" x14ac:dyDescent="0.3">
      <c r="A28" s="22"/>
      <c r="B28" s="92" t="s">
        <v>217</v>
      </c>
      <c r="C28" s="496" t="str">
        <f>'Worksheet Prep'!D4</f>
        <v/>
      </c>
      <c r="D28" s="496"/>
      <c r="E28" s="338" t="s">
        <v>218</v>
      </c>
      <c r="F28" s="339" t="str">
        <f>IF('Worksheet Prep'!J6&lt;&gt;"",'Worksheet Prep'!J6,"")</f>
        <v/>
      </c>
      <c r="G28" s="340"/>
      <c r="H28" s="22"/>
    </row>
    <row r="29" spans="1:10" x14ac:dyDescent="0.25">
      <c r="A29" s="22"/>
      <c r="B29" s="22"/>
      <c r="C29" s="22"/>
      <c r="D29" s="22"/>
      <c r="E29" s="22"/>
      <c r="F29" s="22"/>
      <c r="G29" s="22"/>
      <c r="H29" s="22"/>
    </row>
    <row r="30" spans="1:10" x14ac:dyDescent="0.25">
      <c r="A30" s="22"/>
      <c r="B30" s="22"/>
      <c r="C30" s="22"/>
      <c r="D30" s="22"/>
      <c r="E30" s="22"/>
      <c r="F30" s="22"/>
      <c r="G30" s="22"/>
      <c r="H30" s="22"/>
    </row>
  </sheetData>
  <sheetProtection algorithmName="SHA-512" hashValue="TAe4xnEmToeW+yZNjM4CgMvQHHPM3jhVUbqQmBur4GgAW/GR73c2T4cJJDaFrXJs3urJBm1zKGE/ZIuYVYb+qg==" saltValue="8zA15HbxtcsT28hB7LSDlA==" spinCount="100000" sheet="1" objects="1" scenarios="1" selectLockedCells="1"/>
  <mergeCells count="24">
    <mergeCell ref="C28:D28"/>
    <mergeCell ref="B2:G2"/>
    <mergeCell ref="B4:G4"/>
    <mergeCell ref="B8:C8"/>
    <mergeCell ref="D8:G8"/>
    <mergeCell ref="B9:C9"/>
    <mergeCell ref="D9:G9"/>
    <mergeCell ref="B10:C10"/>
    <mergeCell ref="D10:G10"/>
    <mergeCell ref="D11:G11"/>
    <mergeCell ref="B13:C13"/>
    <mergeCell ref="D12:G12"/>
    <mergeCell ref="B20:C20"/>
    <mergeCell ref="B21:C21"/>
    <mergeCell ref="B19:G19"/>
    <mergeCell ref="E25:G25"/>
    <mergeCell ref="D16:G18"/>
    <mergeCell ref="B17:C17"/>
    <mergeCell ref="B11:C12"/>
    <mergeCell ref="B25:C25"/>
    <mergeCell ref="B14:C14"/>
    <mergeCell ref="B15:C15"/>
    <mergeCell ref="B18:C18"/>
    <mergeCell ref="B16:C16"/>
  </mergeCells>
  <conditionalFormatting sqref="E21">
    <cfRule type="cellIs" dxfId="675" priority="5" operator="lessThan">
      <formula>0%</formula>
    </cfRule>
    <cfRule type="cellIs" dxfId="674" priority="6" operator="greaterThan">
      <formula>H21</formula>
    </cfRule>
    <cfRule type="cellIs" dxfId="673" priority="7" operator="between">
      <formula>0%</formula>
      <formula>H21</formula>
    </cfRule>
  </conditionalFormatting>
  <conditionalFormatting sqref="F21">
    <cfRule type="cellIs" dxfId="672" priority="2" operator="lessThan">
      <formula>0%</formula>
    </cfRule>
    <cfRule type="cellIs" dxfId="671" priority="3" operator="greaterThan">
      <formula>I21</formula>
    </cfRule>
    <cfRule type="cellIs" dxfId="670" priority="4" operator="between">
      <formula>0%</formula>
      <formula>I21</formula>
    </cfRule>
  </conditionalFormatting>
  <pageMargins left="0.7" right="0.7" top="0.75" bottom="0.75" header="0.3" footer="0.3"/>
  <pageSetup scale="7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5" r:id="rId4" name="Check Box 3">
              <controlPr defaultSize="0" autoFill="0" autoLine="0" autoPict="0">
                <anchor moveWithCells="1">
                  <from>
                    <xdr:col>3</xdr:col>
                    <xdr:colOff>381000</xdr:colOff>
                    <xdr:row>13</xdr:row>
                    <xdr:rowOff>228600</xdr:rowOff>
                  </from>
                  <to>
                    <xdr:col>4</xdr:col>
                    <xdr:colOff>57150</xdr:colOff>
                    <xdr:row>14</xdr:row>
                    <xdr:rowOff>200025</xdr:rowOff>
                  </to>
                </anchor>
              </controlPr>
            </control>
          </mc:Choice>
        </mc:AlternateContent>
        <mc:AlternateContent xmlns:mc="http://schemas.openxmlformats.org/markup-compatibility/2006">
          <mc:Choice Requires="x14">
            <control shapeId="33796" r:id="rId5" name="Check Box 4">
              <controlPr defaultSize="0" autoFill="0" autoLine="0" autoPict="0">
                <anchor moveWithCells="1">
                  <from>
                    <xdr:col>3</xdr:col>
                    <xdr:colOff>1000125</xdr:colOff>
                    <xdr:row>13</xdr:row>
                    <xdr:rowOff>228600</xdr:rowOff>
                  </from>
                  <to>
                    <xdr:col>4</xdr:col>
                    <xdr:colOff>676275</xdr:colOff>
                    <xdr:row>14</xdr:row>
                    <xdr:rowOff>200025</xdr:rowOff>
                  </to>
                </anchor>
              </controlPr>
            </control>
          </mc:Choice>
        </mc:AlternateContent>
        <mc:AlternateContent xmlns:mc="http://schemas.openxmlformats.org/markup-compatibility/2006">
          <mc:Choice Requires="x14">
            <control shapeId="33799" r:id="rId6" name="Check Box 7">
              <controlPr defaultSize="0" autoFill="0" autoLine="0" autoPict="0">
                <anchor moveWithCells="1">
                  <from>
                    <xdr:col>4</xdr:col>
                    <xdr:colOff>190500</xdr:colOff>
                    <xdr:row>16</xdr:row>
                    <xdr:rowOff>171450</xdr:rowOff>
                  </from>
                  <to>
                    <xdr:col>4</xdr:col>
                    <xdr:colOff>971550</xdr:colOff>
                    <xdr:row>17</xdr:row>
                    <xdr:rowOff>133350</xdr:rowOff>
                  </to>
                </anchor>
              </controlPr>
            </control>
          </mc:Choice>
        </mc:AlternateContent>
        <mc:AlternateContent xmlns:mc="http://schemas.openxmlformats.org/markup-compatibility/2006">
          <mc:Choice Requires="x14">
            <control shapeId="33800" r:id="rId7" name="Check Box 8">
              <controlPr defaultSize="0" autoFill="0" autoLine="0" autoPict="0">
                <anchor moveWithCells="1">
                  <from>
                    <xdr:col>4</xdr:col>
                    <xdr:colOff>809625</xdr:colOff>
                    <xdr:row>16</xdr:row>
                    <xdr:rowOff>171450</xdr:rowOff>
                  </from>
                  <to>
                    <xdr:col>5</xdr:col>
                    <xdr:colOff>552450</xdr:colOff>
                    <xdr:row>17</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notBetween" id="{A78E1330-7D28-40A6-85AB-71C0016A31BB}">
            <xm:f>-1 * 'STATE CODES (NUM) &amp; MIN-MAX'!$E$32</xm:f>
            <xm:f>'STATE CODES (NUM) &amp; MIN-MAX'!$E$32</xm:f>
            <x14:dxf>
              <font>
                <color theme="5" tint="-0.499984740745262"/>
              </font>
              <fill>
                <patternFill>
                  <bgColor rgb="FFFFCCCC"/>
                </patternFill>
              </fill>
            </x14:dxf>
          </x14:cfRule>
          <xm:sqref>E25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A1:I32"/>
  <sheetViews>
    <sheetView showGridLines="0" topLeftCell="A6"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9.140625"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126</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NEW JERSEY</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399</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1" t="s">
        <v>333</v>
      </c>
      <c r="C17" s="285" t="s">
        <v>205</v>
      </c>
      <c r="D17" s="346">
        <v>0</v>
      </c>
      <c r="E17" s="346">
        <v>0</v>
      </c>
      <c r="F17" s="364"/>
      <c r="G17" s="431" t="s">
        <v>206</v>
      </c>
      <c r="H17" s="407">
        <v>0.1</v>
      </c>
      <c r="I17" s="407">
        <v>0.1</v>
      </c>
    </row>
    <row r="18" spans="1:9" ht="45" customHeight="1" thickBot="1" x14ac:dyDescent="0.3">
      <c r="A18" s="22"/>
      <c r="B18" s="341" t="s">
        <v>334</v>
      </c>
      <c r="C18" s="140" t="s">
        <v>205</v>
      </c>
      <c r="D18" s="348">
        <v>0</v>
      </c>
      <c r="E18" s="348">
        <v>0</v>
      </c>
      <c r="F18" s="366"/>
      <c r="G18" s="432" t="s">
        <v>206</v>
      </c>
      <c r="H18" s="407">
        <v>0.1</v>
      </c>
      <c r="I18" s="407">
        <v>0.1</v>
      </c>
    </row>
    <row r="19" spans="1:9" ht="45" customHeight="1" thickBot="1" x14ac:dyDescent="0.3">
      <c r="A19" s="22"/>
      <c r="B19" s="341" t="s">
        <v>335</v>
      </c>
      <c r="C19" s="140" t="s">
        <v>209</v>
      </c>
      <c r="D19" s="348">
        <v>0</v>
      </c>
      <c r="E19" s="348">
        <v>0</v>
      </c>
      <c r="F19" s="366"/>
      <c r="G19" s="432" t="s">
        <v>206</v>
      </c>
      <c r="H19" s="407">
        <v>0.05</v>
      </c>
      <c r="I19" s="407">
        <v>0.05</v>
      </c>
    </row>
    <row r="20" spans="1:9" ht="45" customHeight="1" thickBot="1" x14ac:dyDescent="0.3">
      <c r="A20" s="22"/>
      <c r="B20" s="341" t="s">
        <v>336</v>
      </c>
      <c r="C20" s="140" t="s">
        <v>209</v>
      </c>
      <c r="D20" s="348">
        <v>0</v>
      </c>
      <c r="E20" s="348">
        <v>0</v>
      </c>
      <c r="F20" s="366"/>
      <c r="G20" s="432" t="s">
        <v>206</v>
      </c>
      <c r="H20" s="407">
        <v>0.05</v>
      </c>
      <c r="I20" s="407">
        <v>0.05</v>
      </c>
    </row>
    <row r="21" spans="1:9" ht="45" customHeight="1" thickBot="1" x14ac:dyDescent="0.3">
      <c r="A21" s="22"/>
      <c r="B21" s="341" t="s">
        <v>337</v>
      </c>
      <c r="C21" s="140" t="s">
        <v>209</v>
      </c>
      <c r="D21" s="348">
        <v>0</v>
      </c>
      <c r="E21" s="348">
        <v>0</v>
      </c>
      <c r="F21" s="366"/>
      <c r="G21" s="432" t="s">
        <v>206</v>
      </c>
      <c r="H21" s="407">
        <v>0.05</v>
      </c>
      <c r="I21" s="407">
        <v>0.05</v>
      </c>
    </row>
    <row r="22" spans="1:9" ht="45" customHeight="1" thickBot="1" x14ac:dyDescent="0.3">
      <c r="A22" s="22"/>
      <c r="B22" s="341" t="s">
        <v>338</v>
      </c>
      <c r="C22" s="140" t="s">
        <v>205</v>
      </c>
      <c r="D22" s="348">
        <v>0</v>
      </c>
      <c r="E22" s="348">
        <v>0</v>
      </c>
      <c r="F22" s="366"/>
      <c r="G22" s="432" t="s">
        <v>206</v>
      </c>
      <c r="H22" s="407">
        <v>0.1</v>
      </c>
      <c r="I22" s="407">
        <v>0.1</v>
      </c>
    </row>
    <row r="23" spans="1:9" ht="45" customHeight="1" thickBot="1" x14ac:dyDescent="0.3">
      <c r="A23" s="22"/>
      <c r="B23" s="341" t="s">
        <v>339</v>
      </c>
      <c r="C23" s="140" t="s">
        <v>209</v>
      </c>
      <c r="D23" s="348">
        <v>0</v>
      </c>
      <c r="E23" s="348">
        <v>0</v>
      </c>
      <c r="F23" s="366"/>
      <c r="G23" s="432" t="s">
        <v>206</v>
      </c>
      <c r="H23" s="407">
        <v>0.05</v>
      </c>
      <c r="I23" s="407">
        <v>0.05</v>
      </c>
    </row>
    <row r="24" spans="1:9" ht="45" customHeight="1" thickBot="1" x14ac:dyDescent="0.3">
      <c r="A24" s="22"/>
      <c r="B24" s="98" t="s">
        <v>340</v>
      </c>
      <c r="C24" s="140" t="s">
        <v>209</v>
      </c>
      <c r="D24" s="348">
        <v>0</v>
      </c>
      <c r="E24" s="348">
        <v>0</v>
      </c>
      <c r="F24" s="366"/>
      <c r="G24" s="432" t="s">
        <v>206</v>
      </c>
      <c r="H24" s="407">
        <v>0.05</v>
      </c>
      <c r="I24" s="407">
        <v>0.05</v>
      </c>
    </row>
    <row r="25" spans="1:9" ht="45" customHeight="1" thickBot="1" x14ac:dyDescent="0.3">
      <c r="A25" s="22"/>
      <c r="B25" s="341" t="s">
        <v>341</v>
      </c>
      <c r="C25" s="286" t="s">
        <v>205</v>
      </c>
      <c r="D25" s="447">
        <v>0</v>
      </c>
      <c r="E25" s="447">
        <v>0</v>
      </c>
      <c r="F25" s="369"/>
      <c r="G25" s="433" t="s">
        <v>206</v>
      </c>
      <c r="H25" s="407">
        <v>0.1</v>
      </c>
      <c r="I25" s="407">
        <v>0.1</v>
      </c>
    </row>
    <row r="26" spans="1:9" ht="16.5" thickBot="1" x14ac:dyDescent="0.3">
      <c r="A26" s="22"/>
      <c r="B26" s="92" t="s">
        <v>214</v>
      </c>
      <c r="C26" s="92"/>
      <c r="D26" s="282">
        <f>-1 * SUM(D17:D25)</f>
        <v>0</v>
      </c>
      <c r="E26" s="282">
        <f>SUM(E17:E25)</f>
        <v>0</v>
      </c>
      <c r="F26" s="93"/>
      <c r="G26" s="93"/>
      <c r="H26" s="22"/>
    </row>
    <row r="27" spans="1:9" ht="15.75" x14ac:dyDescent="0.25">
      <c r="A27" s="22"/>
      <c r="B27" s="92"/>
      <c r="C27" s="92"/>
      <c r="D27" s="93"/>
      <c r="E27" s="93"/>
      <c r="F27" s="93"/>
      <c r="G27" s="93"/>
      <c r="H27" s="22"/>
    </row>
    <row r="28" spans="1:9" ht="16.5" thickBot="1" x14ac:dyDescent="0.3">
      <c r="A28" s="22"/>
      <c r="B28" s="92"/>
      <c r="C28" s="251"/>
      <c r="D28" s="251" t="s">
        <v>287</v>
      </c>
      <c r="E28" s="444">
        <f>SUM(D26:E26)</f>
        <v>0</v>
      </c>
      <c r="F28" s="659" t="s">
        <v>443</v>
      </c>
      <c r="G28" s="660"/>
      <c r="H28" s="22"/>
    </row>
    <row r="29" spans="1:9" ht="15.75" x14ac:dyDescent="0.25">
      <c r="A29" s="22"/>
      <c r="B29" s="92"/>
      <c r="C29" s="92"/>
      <c r="D29" s="100"/>
      <c r="E29" s="93"/>
      <c r="F29" s="93"/>
      <c r="G29" s="93"/>
      <c r="H29" s="22"/>
    </row>
    <row r="30" spans="1:9" ht="16.5" thickBot="1" x14ac:dyDescent="0.3">
      <c r="A30" s="22"/>
      <c r="B30" s="99" t="s">
        <v>217</v>
      </c>
      <c r="C30" s="496" t="str">
        <f>'Worksheet Prep'!D4</f>
        <v/>
      </c>
      <c r="D30" s="496"/>
      <c r="E30" s="99" t="s">
        <v>218</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Z+OH2XTBGNK2ffBq2+9CSHRQ5idA5KEljnVphOootnEYyampx2FrLwRj82atWczkWx23AFDri6gqBfN9wZVkBg==" saltValue="GpdYt968a7CdaqcZ2UewmQ==" spinCount="100000" sheet="1" objects="1" scenarios="1" selectLockedCells="1"/>
  <mergeCells count="14">
    <mergeCell ref="F28:G28"/>
    <mergeCell ref="C30:D30"/>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668" priority="53" operator="lessThan">
      <formula>0%</formula>
    </cfRule>
    <cfRule type="cellIs" dxfId="667" priority="54" operator="greaterThan">
      <formula>H17</formula>
    </cfRule>
    <cfRule type="cellIs" dxfId="666" priority="55" operator="between">
      <formula>0%</formula>
      <formula>H17</formula>
    </cfRule>
  </conditionalFormatting>
  <conditionalFormatting sqref="E17">
    <cfRule type="cellIs" dxfId="665" priority="50" operator="lessThan">
      <formula>0%</formula>
    </cfRule>
    <cfRule type="cellIs" dxfId="664" priority="51" operator="greaterThan">
      <formula>I17</formula>
    </cfRule>
    <cfRule type="cellIs" dxfId="663" priority="52" operator="between">
      <formula>0%</formula>
      <formula>I17</formula>
    </cfRule>
  </conditionalFormatting>
  <conditionalFormatting sqref="E18">
    <cfRule type="cellIs" dxfId="662" priority="47" operator="lessThan">
      <formula>0%</formula>
    </cfRule>
    <cfRule type="cellIs" dxfId="661" priority="48" operator="greaterThan">
      <formula>I18</formula>
    </cfRule>
    <cfRule type="cellIs" dxfId="660" priority="49" operator="between">
      <formula>0%</formula>
      <formula>I18</formula>
    </cfRule>
  </conditionalFormatting>
  <conditionalFormatting sqref="D18">
    <cfRule type="cellIs" dxfId="659" priority="44" operator="lessThan">
      <formula>0%</formula>
    </cfRule>
    <cfRule type="cellIs" dxfId="658" priority="45" operator="greaterThan">
      <formula>H18</formula>
    </cfRule>
    <cfRule type="cellIs" dxfId="657" priority="46" operator="between">
      <formula>0%</formula>
      <formula>H18</formula>
    </cfRule>
  </conditionalFormatting>
  <conditionalFormatting sqref="D19">
    <cfRule type="cellIs" dxfId="656" priority="41" operator="lessThan">
      <formula>0%</formula>
    </cfRule>
    <cfRule type="cellIs" dxfId="655" priority="42" operator="greaterThan">
      <formula>H19</formula>
    </cfRule>
    <cfRule type="cellIs" dxfId="654" priority="43" operator="between">
      <formula>0%</formula>
      <formula>H19</formula>
    </cfRule>
  </conditionalFormatting>
  <conditionalFormatting sqref="E19">
    <cfRule type="cellIs" dxfId="653" priority="38" operator="lessThan">
      <formula>0%</formula>
    </cfRule>
    <cfRule type="cellIs" dxfId="652" priority="39" operator="greaterThan">
      <formula>I19</formula>
    </cfRule>
    <cfRule type="cellIs" dxfId="651" priority="40" operator="between">
      <formula>0%</formula>
      <formula>I19</formula>
    </cfRule>
  </conditionalFormatting>
  <conditionalFormatting sqref="E20">
    <cfRule type="cellIs" dxfId="650" priority="35" operator="lessThan">
      <formula>0%</formula>
    </cfRule>
    <cfRule type="cellIs" dxfId="649" priority="36" operator="greaterThan">
      <formula>I20</formula>
    </cfRule>
    <cfRule type="cellIs" dxfId="648" priority="37" operator="between">
      <formula>0%</formula>
      <formula>I20</formula>
    </cfRule>
  </conditionalFormatting>
  <conditionalFormatting sqref="D20">
    <cfRule type="cellIs" dxfId="647" priority="32" operator="lessThan">
      <formula>0%</formula>
    </cfRule>
    <cfRule type="cellIs" dxfId="646" priority="33" operator="greaterThan">
      <formula>H20</formula>
    </cfRule>
    <cfRule type="cellIs" dxfId="645" priority="34" operator="between">
      <formula>0%</formula>
      <formula>H20</formula>
    </cfRule>
  </conditionalFormatting>
  <conditionalFormatting sqref="D21">
    <cfRule type="cellIs" dxfId="644" priority="29" operator="lessThan">
      <formula>0%</formula>
    </cfRule>
    <cfRule type="cellIs" dxfId="643" priority="30" operator="greaterThan">
      <formula>H21</formula>
    </cfRule>
    <cfRule type="cellIs" dxfId="642" priority="31" operator="between">
      <formula>0%</formula>
      <formula>H21</formula>
    </cfRule>
  </conditionalFormatting>
  <conditionalFormatting sqref="E21">
    <cfRule type="cellIs" dxfId="641" priority="26" operator="lessThan">
      <formula>0%</formula>
    </cfRule>
    <cfRule type="cellIs" dxfId="640" priority="27" operator="greaterThan">
      <formula>I21</formula>
    </cfRule>
    <cfRule type="cellIs" dxfId="639" priority="28" operator="between">
      <formula>0%</formula>
      <formula>I21</formula>
    </cfRule>
  </conditionalFormatting>
  <conditionalFormatting sqref="E22">
    <cfRule type="cellIs" dxfId="638" priority="23" operator="lessThan">
      <formula>0%</formula>
    </cfRule>
    <cfRule type="cellIs" dxfId="637" priority="24" operator="greaterThan">
      <formula>I22</formula>
    </cfRule>
    <cfRule type="cellIs" dxfId="636" priority="25" operator="between">
      <formula>0%</formula>
      <formula>I22</formula>
    </cfRule>
  </conditionalFormatting>
  <conditionalFormatting sqref="D22">
    <cfRule type="cellIs" dxfId="635" priority="20" operator="lessThan">
      <formula>0%</formula>
    </cfRule>
    <cfRule type="cellIs" dxfId="634" priority="21" operator="greaterThan">
      <formula>H22</formula>
    </cfRule>
    <cfRule type="cellIs" dxfId="633" priority="22" operator="between">
      <formula>0%</formula>
      <formula>H22</formula>
    </cfRule>
  </conditionalFormatting>
  <conditionalFormatting sqref="D23">
    <cfRule type="cellIs" dxfId="632" priority="17" operator="lessThan">
      <formula>0%</formula>
    </cfRule>
    <cfRule type="cellIs" dxfId="631" priority="18" operator="greaterThan">
      <formula>H23</formula>
    </cfRule>
    <cfRule type="cellIs" dxfId="630" priority="19" operator="between">
      <formula>0%</formula>
      <formula>H23</formula>
    </cfRule>
  </conditionalFormatting>
  <conditionalFormatting sqref="E23">
    <cfRule type="cellIs" dxfId="629" priority="14" operator="lessThan">
      <formula>0%</formula>
    </cfRule>
    <cfRule type="cellIs" dxfId="628" priority="15" operator="greaterThan">
      <formula>I23</formula>
    </cfRule>
    <cfRule type="cellIs" dxfId="627" priority="16" operator="between">
      <formula>0%</formula>
      <formula>I23</formula>
    </cfRule>
  </conditionalFormatting>
  <conditionalFormatting sqref="E24">
    <cfRule type="cellIs" dxfId="626" priority="11" operator="lessThan">
      <formula>0%</formula>
    </cfRule>
    <cfRule type="cellIs" dxfId="625" priority="12" operator="greaterThan">
      <formula>I24</formula>
    </cfRule>
    <cfRule type="cellIs" dxfId="624" priority="13" operator="between">
      <formula>0%</formula>
      <formula>I24</formula>
    </cfRule>
  </conditionalFormatting>
  <conditionalFormatting sqref="D24">
    <cfRule type="cellIs" dxfId="623" priority="8" operator="lessThan">
      <formula>0%</formula>
    </cfRule>
    <cfRule type="cellIs" dxfId="622" priority="9" operator="greaterThan">
      <formula>H24</formula>
    </cfRule>
    <cfRule type="cellIs" dxfId="621" priority="10" operator="between">
      <formula>0%</formula>
      <formula>H24</formula>
    </cfRule>
  </conditionalFormatting>
  <conditionalFormatting sqref="D25">
    <cfRule type="cellIs" dxfId="620" priority="5" operator="lessThan">
      <formula>0%</formula>
    </cfRule>
    <cfRule type="cellIs" dxfId="619" priority="6" operator="greaterThan">
      <formula>H25</formula>
    </cfRule>
    <cfRule type="cellIs" dxfId="618" priority="7" operator="between">
      <formula>0%</formula>
      <formula>H25</formula>
    </cfRule>
  </conditionalFormatting>
  <conditionalFormatting sqref="E25">
    <cfRule type="cellIs" dxfId="617" priority="2" operator="lessThan">
      <formula>0%</formula>
    </cfRule>
    <cfRule type="cellIs" dxfId="616" priority="3" operator="greaterThan">
      <formula>I25</formula>
    </cfRule>
    <cfRule type="cellIs" dxfId="615" priority="4" operator="between">
      <formula>0%</formula>
      <formula>I25</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650DE309-9C1A-40F9-B142-644A83729A00}">
            <xm:f>-1 * 'STATE CODES (NUM) &amp; MIN-MAX'!$E$33</xm:f>
            <xm:f>'STATE CODES (NUM) &amp; MIN-MAX'!$E$33</xm:f>
            <x14:dxf>
              <font>
                <color theme="5" tint="-0.499984740745262"/>
              </font>
              <fill>
                <patternFill>
                  <bgColor rgb="FFFFCCCC"/>
                </patternFill>
              </fill>
            </x14:dxf>
          </x14:cfRule>
          <xm:sqref>E28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pageSetUpPr fitToPage="1"/>
  </sheetPr>
  <dimension ref="B1:R33"/>
  <sheetViews>
    <sheetView showGridLines="0" showRowColHeaders="0" zoomScale="90" zoomScaleNormal="90" workbookViewId="0">
      <selection activeCell="B9" sqref="B9:C9"/>
    </sheetView>
  </sheetViews>
  <sheetFormatPr defaultRowHeight="15" x14ac:dyDescent="0.25"/>
  <cols>
    <col min="1" max="1" width="6.42578125" customWidth="1"/>
    <col min="2" max="2" width="23.140625" customWidth="1"/>
    <col min="3" max="3" width="17.85546875" customWidth="1"/>
    <col min="4" max="4" width="12.85546875" customWidth="1"/>
    <col min="5" max="5" width="11.5703125" customWidth="1"/>
    <col min="6" max="6" width="13.5703125" customWidth="1"/>
    <col min="7" max="7" width="12.140625" customWidth="1"/>
    <col min="8" max="8" width="29.7109375" customWidth="1"/>
    <col min="9" max="9" width="6.42578125" hidden="1" customWidth="1"/>
    <col min="10" max="10" width="0" hidden="1" customWidth="1"/>
    <col min="14" max="15" width="9.140625" style="454"/>
  </cols>
  <sheetData>
    <row r="1" spans="2:18" ht="15.75" x14ac:dyDescent="0.25">
      <c r="L1" s="664"/>
      <c r="M1" s="664"/>
      <c r="N1" s="664"/>
      <c r="O1" s="664"/>
      <c r="P1" s="664"/>
      <c r="Q1" s="664"/>
      <c r="R1" s="147"/>
    </row>
    <row r="2" spans="2:18" ht="18" x14ac:dyDescent="0.25">
      <c r="B2" s="594" t="s">
        <v>342</v>
      </c>
      <c r="C2" s="595"/>
      <c r="D2" s="595"/>
      <c r="E2" s="595"/>
      <c r="F2" s="595"/>
      <c r="G2" s="595"/>
      <c r="H2" s="596"/>
    </row>
    <row r="3" spans="2:18" ht="15.75" x14ac:dyDescent="0.25">
      <c r="B3" s="203"/>
      <c r="C3" s="201"/>
      <c r="D3" s="201"/>
      <c r="E3" s="201"/>
      <c r="F3" s="201"/>
      <c r="G3" s="201"/>
      <c r="H3" s="201"/>
    </row>
    <row r="4" spans="2:18" x14ac:dyDescent="0.25">
      <c r="B4" s="247" t="s">
        <v>303</v>
      </c>
      <c r="C4" s="201"/>
      <c r="D4" s="201"/>
      <c r="E4" s="201"/>
      <c r="F4" s="201"/>
      <c r="G4" s="201"/>
      <c r="H4" s="201"/>
    </row>
    <row r="5" spans="2:18" ht="16.5" thickBot="1" x14ac:dyDescent="0.3">
      <c r="B5" s="206"/>
      <c r="C5" s="201"/>
      <c r="D5" s="201"/>
      <c r="E5" s="201"/>
      <c r="F5" s="201"/>
      <c r="G5" s="201"/>
      <c r="H5" s="201"/>
    </row>
    <row r="6" spans="2:18" x14ac:dyDescent="0.25">
      <c r="B6" s="547" t="s">
        <v>228</v>
      </c>
      <c r="C6" s="549"/>
      <c r="D6" s="547" t="s">
        <v>229</v>
      </c>
      <c r="E6" s="549"/>
      <c r="F6" s="549"/>
      <c r="G6" s="549"/>
      <c r="H6" s="548"/>
    </row>
    <row r="7" spans="2:18" ht="24.95" customHeight="1" thickBot="1" x14ac:dyDescent="0.3">
      <c r="B7" s="569" t="str">
        <f>IF('Worksheet Prep'!D3&lt;&gt;"",'Worksheet Prep'!D3,"")</f>
        <v/>
      </c>
      <c r="C7" s="570"/>
      <c r="D7" s="759" t="str">
        <f>IF('Worksheet Prep'!G5&lt;&gt;"",'Worksheet Prep'!G5,"")</f>
        <v/>
      </c>
      <c r="E7" s="760"/>
      <c r="F7" s="760"/>
      <c r="G7" s="760"/>
      <c r="H7" s="761"/>
    </row>
    <row r="8" spans="2:18" x14ac:dyDescent="0.25">
      <c r="B8" s="547" t="s">
        <v>230</v>
      </c>
      <c r="C8" s="548"/>
      <c r="D8" s="547" t="s">
        <v>231</v>
      </c>
      <c r="E8" s="549"/>
      <c r="F8" s="549"/>
      <c r="G8" s="549"/>
      <c r="H8" s="548"/>
    </row>
    <row r="9" spans="2:18" ht="24.95" customHeight="1" thickBot="1" x14ac:dyDescent="0.3">
      <c r="B9" s="608"/>
      <c r="C9" s="609"/>
      <c r="D9" s="764" t="str">
        <f>IF('Worksheet Prep'!C5&lt;&gt;"",'Worksheet Prep'!C5,"")</f>
        <v/>
      </c>
      <c r="E9" s="570"/>
      <c r="F9" s="570"/>
      <c r="G9" s="570"/>
      <c r="H9" s="556"/>
    </row>
    <row r="10" spans="2:18" ht="15.75" thickBot="1" x14ac:dyDescent="0.3">
      <c r="B10" s="547" t="s">
        <v>232</v>
      </c>
      <c r="C10" s="548"/>
      <c r="D10" s="765" t="s">
        <v>343</v>
      </c>
      <c r="E10" s="766"/>
      <c r="F10" s="766"/>
      <c r="G10" s="767" t="s">
        <v>92</v>
      </c>
      <c r="H10" s="768"/>
    </row>
    <row r="11" spans="2:18" ht="24.95" customHeight="1" thickBot="1" x14ac:dyDescent="0.3">
      <c r="B11" s="567" t="str">
        <f>'Additional Info'!F2</f>
        <v>Praetorian Insurance - 3501</v>
      </c>
      <c r="C11" s="568"/>
      <c r="D11" s="547" t="s">
        <v>233</v>
      </c>
      <c r="E11" s="549"/>
      <c r="F11" s="549"/>
      <c r="G11" s="549"/>
      <c r="H11" s="548"/>
    </row>
    <row r="12" spans="2:18" ht="15.75" thickBot="1" x14ac:dyDescent="0.3">
      <c r="B12" s="547" t="s">
        <v>234</v>
      </c>
      <c r="C12" s="549"/>
      <c r="D12" s="166" t="s">
        <v>235</v>
      </c>
      <c r="E12" s="736" t="str">
        <f>D9</f>
        <v/>
      </c>
      <c r="F12" s="737"/>
      <c r="G12" s="148" t="s">
        <v>236</v>
      </c>
      <c r="H12" s="155" t="str">
        <f>IF('Worksheet Prep'!E5&lt;&gt;"",'Worksheet Prep'!E5,"")</f>
        <v/>
      </c>
    </row>
    <row r="13" spans="2:18" ht="24.95" customHeight="1" thickBot="1" x14ac:dyDescent="0.3">
      <c r="B13" s="567">
        <f>VLOOKUP(B11,'STATE CODES (NUM) &amp; MIN-MAX'!B56:D58,3,FALSE)</f>
        <v>21172</v>
      </c>
      <c r="C13" s="568"/>
      <c r="D13" s="738" t="s">
        <v>328</v>
      </c>
      <c r="E13" s="739"/>
      <c r="F13" s="739"/>
      <c r="G13" s="739"/>
      <c r="H13" s="740"/>
    </row>
    <row r="14" spans="2:18" ht="24.95" customHeight="1" thickBot="1" x14ac:dyDescent="0.3">
      <c r="B14" s="402" t="s">
        <v>238</v>
      </c>
      <c r="C14" s="401" t="s">
        <v>344</v>
      </c>
      <c r="D14" s="744"/>
      <c r="E14" s="745"/>
      <c r="F14" s="745"/>
      <c r="G14" s="745"/>
      <c r="H14" s="746"/>
      <c r="N14" s="454" t="b">
        <v>0</v>
      </c>
    </row>
    <row r="15" spans="2:18" ht="24.95" customHeight="1" thickBot="1" x14ac:dyDescent="0.3">
      <c r="B15" s="404" t="str">
        <f>'Worksheet Prep'!D4</f>
        <v/>
      </c>
      <c r="C15" s="403" t="str">
        <f>IF('Worksheet Prep'!J6&lt;&gt;"",'Worksheet Prep'!J6,"")</f>
        <v/>
      </c>
      <c r="D15" s="747" t="s">
        <v>345</v>
      </c>
      <c r="E15" s="748"/>
      <c r="F15" s="749"/>
      <c r="G15" s="749"/>
      <c r="H15" s="750"/>
    </row>
    <row r="16" spans="2:18" ht="19.5" customHeight="1" x14ac:dyDescent="0.25">
      <c r="B16" s="547" t="s">
        <v>240</v>
      </c>
      <c r="C16" s="556"/>
      <c r="D16" s="741" t="s">
        <v>346</v>
      </c>
      <c r="E16" s="742"/>
      <c r="F16" s="742"/>
      <c r="G16" s="742"/>
      <c r="H16" s="743"/>
    </row>
    <row r="17" spans="2:10" ht="24.95" customHeight="1" thickBot="1" x14ac:dyDescent="0.3">
      <c r="B17" s="762"/>
      <c r="C17" s="763"/>
      <c r="D17" s="751"/>
      <c r="E17" s="752"/>
      <c r="F17" s="752"/>
      <c r="G17" s="752"/>
      <c r="H17" s="753"/>
    </row>
    <row r="18" spans="2:10" ht="19.5" customHeight="1" x14ac:dyDescent="0.25">
      <c r="B18" s="164"/>
      <c r="C18" s="165"/>
      <c r="D18" s="755" t="s">
        <v>243</v>
      </c>
      <c r="E18" s="756"/>
      <c r="F18" s="569" t="s">
        <v>200</v>
      </c>
      <c r="G18" s="757" t="s">
        <v>201</v>
      </c>
      <c r="H18" s="614" t="s">
        <v>244</v>
      </c>
    </row>
    <row r="19" spans="2:10" ht="39.75" thickBot="1" x14ac:dyDescent="0.3">
      <c r="B19" s="245" t="s">
        <v>198</v>
      </c>
      <c r="C19" s="254" t="s">
        <v>199</v>
      </c>
      <c r="D19" s="250" t="s">
        <v>200</v>
      </c>
      <c r="E19" s="243" t="s">
        <v>201</v>
      </c>
      <c r="F19" s="621"/>
      <c r="G19" s="758"/>
      <c r="H19" s="615"/>
    </row>
    <row r="20" spans="2:10" ht="45" customHeight="1" thickBot="1" x14ac:dyDescent="0.3">
      <c r="B20" s="449" t="s">
        <v>204</v>
      </c>
      <c r="C20" s="229" t="s">
        <v>347</v>
      </c>
      <c r="D20" s="351">
        <v>0</v>
      </c>
      <c r="E20" s="351">
        <v>0</v>
      </c>
      <c r="F20" s="346">
        <v>0</v>
      </c>
      <c r="G20" s="346">
        <v>0</v>
      </c>
      <c r="H20" s="379"/>
      <c r="I20" s="416">
        <v>0.06</v>
      </c>
      <c r="J20" s="416">
        <v>0.06</v>
      </c>
    </row>
    <row r="21" spans="2:10" ht="45" customHeight="1" thickBot="1" x14ac:dyDescent="0.3">
      <c r="B21" s="449" t="s">
        <v>207</v>
      </c>
      <c r="C21" s="230" t="s">
        <v>347</v>
      </c>
      <c r="D21" s="353">
        <v>0</v>
      </c>
      <c r="E21" s="353">
        <v>0</v>
      </c>
      <c r="F21" s="348">
        <v>0</v>
      </c>
      <c r="G21" s="348">
        <v>0</v>
      </c>
      <c r="H21" s="380"/>
      <c r="I21" s="416">
        <v>0.06</v>
      </c>
      <c r="J21" s="416">
        <v>0.06</v>
      </c>
    </row>
    <row r="22" spans="2:10" ht="45" customHeight="1" thickBot="1" x14ac:dyDescent="0.3">
      <c r="B22" s="449" t="s">
        <v>208</v>
      </c>
      <c r="C22" s="230" t="s">
        <v>348</v>
      </c>
      <c r="D22" s="353">
        <v>0</v>
      </c>
      <c r="E22" s="353">
        <v>0</v>
      </c>
      <c r="F22" s="348">
        <v>0</v>
      </c>
      <c r="G22" s="348">
        <v>0</v>
      </c>
      <c r="H22" s="380"/>
      <c r="I22" s="416">
        <v>0.03</v>
      </c>
      <c r="J22" s="416">
        <v>0.03</v>
      </c>
    </row>
    <row r="23" spans="2:10" ht="45" customHeight="1" thickBot="1" x14ac:dyDescent="0.3">
      <c r="B23" s="449" t="s">
        <v>210</v>
      </c>
      <c r="C23" s="230" t="s">
        <v>348</v>
      </c>
      <c r="D23" s="353">
        <v>0</v>
      </c>
      <c r="E23" s="353">
        <v>0</v>
      </c>
      <c r="F23" s="348">
        <v>0</v>
      </c>
      <c r="G23" s="348">
        <v>0</v>
      </c>
      <c r="H23" s="380"/>
      <c r="I23" s="416">
        <v>0.03</v>
      </c>
      <c r="J23" s="416">
        <v>0.03</v>
      </c>
    </row>
    <row r="24" spans="2:10" ht="45" customHeight="1" thickBot="1" x14ac:dyDescent="0.3">
      <c r="B24" s="449" t="s">
        <v>247</v>
      </c>
      <c r="C24" s="230" t="s">
        <v>347</v>
      </c>
      <c r="D24" s="353">
        <v>0</v>
      </c>
      <c r="E24" s="353">
        <v>0</v>
      </c>
      <c r="F24" s="348">
        <v>0</v>
      </c>
      <c r="G24" s="348">
        <v>0</v>
      </c>
      <c r="H24" s="380"/>
      <c r="I24" s="416">
        <v>0.06</v>
      </c>
      <c r="J24" s="416">
        <v>0.06</v>
      </c>
    </row>
    <row r="25" spans="2:10" ht="45" customHeight="1" thickBot="1" x14ac:dyDescent="0.3">
      <c r="B25" s="449" t="s">
        <v>248</v>
      </c>
      <c r="C25" s="230" t="s">
        <v>348</v>
      </c>
      <c r="D25" s="353">
        <v>0</v>
      </c>
      <c r="E25" s="353">
        <v>0</v>
      </c>
      <c r="F25" s="348">
        <v>0</v>
      </c>
      <c r="G25" s="348">
        <v>0</v>
      </c>
      <c r="H25" s="380"/>
      <c r="I25" s="416">
        <v>0.03</v>
      </c>
      <c r="J25" s="416">
        <v>0.03</v>
      </c>
    </row>
    <row r="26" spans="2:10" ht="45" customHeight="1" thickBot="1" x14ac:dyDescent="0.3">
      <c r="B26" s="449" t="s">
        <v>249</v>
      </c>
      <c r="C26" s="231" t="s">
        <v>348</v>
      </c>
      <c r="D26" s="355">
        <v>0</v>
      </c>
      <c r="E26" s="355">
        <v>0</v>
      </c>
      <c r="F26" s="447">
        <v>0</v>
      </c>
      <c r="G26" s="447">
        <v>0</v>
      </c>
      <c r="H26" s="381"/>
      <c r="I26" s="416">
        <v>0.03</v>
      </c>
      <c r="J26" s="416">
        <v>0.03</v>
      </c>
    </row>
    <row r="27" spans="2:10" ht="15.75" thickBot="1" x14ac:dyDescent="0.3">
      <c r="B27" s="201"/>
      <c r="C27" s="253" t="s">
        <v>250</v>
      </c>
      <c r="D27" s="151">
        <f>SUM(D20:D26)</f>
        <v>0</v>
      </c>
      <c r="E27" s="152">
        <f>SUM(E20:E26)</f>
        <v>0</v>
      </c>
      <c r="F27" s="153">
        <f>-1 * SUM(F20:F26)</f>
        <v>0</v>
      </c>
      <c r="G27" s="154">
        <f>SUM(G20:G26)</f>
        <v>0</v>
      </c>
      <c r="H27" s="150" t="s">
        <v>351</v>
      </c>
    </row>
    <row r="28" spans="2:10" ht="45" customHeight="1" x14ac:dyDescent="0.25">
      <c r="B28" s="215"/>
      <c r="C28" s="754" t="s">
        <v>349</v>
      </c>
      <c r="D28" s="754"/>
      <c r="E28" s="754"/>
      <c r="F28" s="754"/>
      <c r="G28" s="754"/>
      <c r="H28" s="149"/>
    </row>
    <row r="29" spans="2:10" x14ac:dyDescent="0.25">
      <c r="B29" s="215"/>
      <c r="C29" s="248"/>
      <c r="D29" s="211"/>
      <c r="E29" s="211"/>
      <c r="F29" s="163"/>
      <c r="G29" s="163"/>
      <c r="H29" s="226"/>
    </row>
    <row r="30" spans="2:10" ht="15.75" thickBot="1" x14ac:dyDescent="0.3">
      <c r="B30" s="717">
        <v>0</v>
      </c>
      <c r="C30" s="717"/>
      <c r="D30" s="248"/>
      <c r="E30" s="593">
        <f>SUM(F27:G27)</f>
        <v>0</v>
      </c>
      <c r="F30" s="593"/>
      <c r="G30" s="769" t="s">
        <v>443</v>
      </c>
      <c r="H30" s="641"/>
    </row>
    <row r="31" spans="2:10" x14ac:dyDescent="0.25">
      <c r="B31" s="255" t="s">
        <v>350</v>
      </c>
      <c r="C31" s="208"/>
      <c r="D31" s="210"/>
      <c r="E31" s="210" t="s">
        <v>215</v>
      </c>
      <c r="F31" s="210"/>
      <c r="G31" s="201"/>
      <c r="H31" s="201"/>
    </row>
    <row r="32" spans="2:10" x14ac:dyDescent="0.25">
      <c r="B32" s="209"/>
      <c r="C32" s="208"/>
      <c r="D32" s="210"/>
      <c r="E32" s="210"/>
      <c r="F32" s="210"/>
      <c r="G32" s="201"/>
      <c r="H32" s="201"/>
    </row>
    <row r="33" spans="2:6" ht="16.5" thickBot="1" x14ac:dyDescent="0.3">
      <c r="B33" s="204" t="s">
        <v>217</v>
      </c>
      <c r="C33" s="585" t="str">
        <f>'Worksheet Prep'!D4</f>
        <v/>
      </c>
      <c r="D33" s="585"/>
      <c r="E33" s="227" t="s">
        <v>218</v>
      </c>
      <c r="F33" s="232" t="str">
        <f>IF('Worksheet Prep'!J6&lt;&gt;"",'Worksheet Prep'!J6,"")</f>
        <v/>
      </c>
    </row>
  </sheetData>
  <sheetProtection algorithmName="SHA-512" hashValue="fQUVTmgy0Rd14nQBOEXIg9ql4dt5otKC1/QFqEXRHLaDx/o3INWpj5KwG0oERbdC0ryme92oyKR5KljKKldxiQ==" saltValue="gO4nPu6uIqL80alLcfpFzA==" spinCount="100000" sheet="1" objects="1" scenarios="1" selectLockedCells="1"/>
  <mergeCells count="35">
    <mergeCell ref="E30:F30"/>
    <mergeCell ref="B16:C16"/>
    <mergeCell ref="B17:C17"/>
    <mergeCell ref="B8:C8"/>
    <mergeCell ref="D8:H8"/>
    <mergeCell ref="B9:C9"/>
    <mergeCell ref="B10:C10"/>
    <mergeCell ref="D11:H11"/>
    <mergeCell ref="D9:H9"/>
    <mergeCell ref="D10:F10"/>
    <mergeCell ref="G10:H10"/>
    <mergeCell ref="B11:C11"/>
    <mergeCell ref="G30:H30"/>
    <mergeCell ref="L1:Q1"/>
    <mergeCell ref="B2:H2"/>
    <mergeCell ref="B6:C6"/>
    <mergeCell ref="D6:H6"/>
    <mergeCell ref="B7:C7"/>
    <mergeCell ref="D7:H7"/>
    <mergeCell ref="C33:D33"/>
    <mergeCell ref="E12:F12"/>
    <mergeCell ref="B12:C12"/>
    <mergeCell ref="D13:H13"/>
    <mergeCell ref="B13:C13"/>
    <mergeCell ref="B30:C30"/>
    <mergeCell ref="D16:H16"/>
    <mergeCell ref="D14:H14"/>
    <mergeCell ref="D15:E15"/>
    <mergeCell ref="F15:H15"/>
    <mergeCell ref="D17:H17"/>
    <mergeCell ref="C28:G28"/>
    <mergeCell ref="D18:E18"/>
    <mergeCell ref="F18:F19"/>
    <mergeCell ref="G18:G19"/>
    <mergeCell ref="H18:H19"/>
  </mergeCells>
  <conditionalFormatting sqref="F20">
    <cfRule type="cellIs" dxfId="613" priority="44" operator="lessThan">
      <formula>0%</formula>
    </cfRule>
    <cfRule type="cellIs" dxfId="612" priority="45" operator="greaterThan">
      <formula>I20</formula>
    </cfRule>
    <cfRule type="cellIs" dxfId="611" priority="46" operator="between">
      <formula>0%</formula>
      <formula>I20</formula>
    </cfRule>
  </conditionalFormatting>
  <conditionalFormatting sqref="G20">
    <cfRule type="cellIs" dxfId="610" priority="40" operator="lessThan">
      <formula>0%</formula>
    </cfRule>
    <cfRule type="cellIs" dxfId="609" priority="41" operator="greaterThan">
      <formula>J20</formula>
    </cfRule>
    <cfRule type="cellIs" dxfId="608" priority="42" operator="between">
      <formula>0%</formula>
      <formula>J20</formula>
    </cfRule>
  </conditionalFormatting>
  <conditionalFormatting sqref="G21">
    <cfRule type="cellIs" dxfId="607" priority="37" operator="lessThan">
      <formula>0%</formula>
    </cfRule>
    <cfRule type="cellIs" dxfId="606" priority="38" operator="greaterThan">
      <formula>J21</formula>
    </cfRule>
    <cfRule type="cellIs" dxfId="605" priority="39" operator="between">
      <formula>0%</formula>
      <formula>J21</formula>
    </cfRule>
  </conditionalFormatting>
  <conditionalFormatting sqref="F21">
    <cfRule type="cellIs" dxfId="604" priority="34" operator="lessThan">
      <formula>0%</formula>
    </cfRule>
    <cfRule type="cellIs" dxfId="603" priority="35" operator="greaterThan">
      <formula>I21</formula>
    </cfRule>
    <cfRule type="cellIs" dxfId="602" priority="36" operator="between">
      <formula>0%</formula>
      <formula>I21</formula>
    </cfRule>
  </conditionalFormatting>
  <conditionalFormatting sqref="F22">
    <cfRule type="cellIs" dxfId="601" priority="31" operator="lessThan">
      <formula>0%</formula>
    </cfRule>
    <cfRule type="cellIs" dxfId="600" priority="32" operator="greaterThan">
      <formula>I22</formula>
    </cfRule>
    <cfRule type="cellIs" dxfId="599" priority="33" operator="between">
      <formula>0%</formula>
      <formula>I22</formula>
    </cfRule>
  </conditionalFormatting>
  <conditionalFormatting sqref="G22">
    <cfRule type="cellIs" dxfId="598" priority="25" operator="lessThan">
      <formula>0%</formula>
    </cfRule>
    <cfRule type="cellIs" dxfId="597" priority="26" operator="greaterThan">
      <formula>J22</formula>
    </cfRule>
    <cfRule type="cellIs" dxfId="596" priority="27" operator="between">
      <formula>0%</formula>
      <formula>J22</formula>
    </cfRule>
  </conditionalFormatting>
  <conditionalFormatting sqref="G23">
    <cfRule type="cellIs" dxfId="595" priority="22" operator="lessThan">
      <formula>0%</formula>
    </cfRule>
    <cfRule type="cellIs" dxfId="594" priority="23" operator="greaterThan">
      <formula>J23</formula>
    </cfRule>
    <cfRule type="cellIs" dxfId="593" priority="24" operator="between">
      <formula>0%</formula>
      <formula>J23</formula>
    </cfRule>
  </conditionalFormatting>
  <conditionalFormatting sqref="F23">
    <cfRule type="cellIs" dxfId="592" priority="19" operator="lessThan">
      <formula>0%</formula>
    </cfRule>
    <cfRule type="cellIs" dxfId="591" priority="20" operator="greaterThan">
      <formula>I23</formula>
    </cfRule>
    <cfRule type="cellIs" dxfId="590" priority="21" operator="between">
      <formula>0%</formula>
      <formula>I23</formula>
    </cfRule>
  </conditionalFormatting>
  <conditionalFormatting sqref="F24">
    <cfRule type="cellIs" dxfId="589" priority="16" operator="lessThan">
      <formula>0%</formula>
    </cfRule>
    <cfRule type="cellIs" dxfId="588" priority="17" operator="greaterThan">
      <formula>I24</formula>
    </cfRule>
    <cfRule type="cellIs" dxfId="587" priority="18" operator="between">
      <formula>0%</formula>
      <formula>I24</formula>
    </cfRule>
  </conditionalFormatting>
  <conditionalFormatting sqref="G24">
    <cfRule type="cellIs" dxfId="586" priority="13" operator="lessThan">
      <formula>0%</formula>
    </cfRule>
    <cfRule type="cellIs" dxfId="585" priority="14" operator="greaterThan">
      <formula>J24</formula>
    </cfRule>
    <cfRule type="cellIs" dxfId="584" priority="15" operator="between">
      <formula>0%</formula>
      <formula>J24</formula>
    </cfRule>
  </conditionalFormatting>
  <conditionalFormatting sqref="G25">
    <cfRule type="cellIs" dxfId="583" priority="10" operator="lessThan">
      <formula>0%</formula>
    </cfRule>
    <cfRule type="cellIs" dxfId="582" priority="11" operator="greaterThan">
      <formula>J25</formula>
    </cfRule>
    <cfRule type="cellIs" dxfId="581" priority="12" operator="between">
      <formula>0%</formula>
      <formula>J25</formula>
    </cfRule>
  </conditionalFormatting>
  <conditionalFormatting sqref="F25">
    <cfRule type="cellIs" dxfId="580" priority="7" operator="lessThan">
      <formula>0%</formula>
    </cfRule>
    <cfRule type="cellIs" dxfId="579" priority="8" operator="greaterThan">
      <formula>I25</formula>
    </cfRule>
    <cfRule type="cellIs" dxfId="578" priority="9" operator="between">
      <formula>0%</formula>
      <formula>I25</formula>
    </cfRule>
  </conditionalFormatting>
  <conditionalFormatting sqref="F26">
    <cfRule type="cellIs" dxfId="577" priority="4" operator="lessThan">
      <formula>0%</formula>
    </cfRule>
    <cfRule type="cellIs" dxfId="576" priority="5" operator="greaterThan">
      <formula>I26</formula>
    </cfRule>
    <cfRule type="cellIs" dxfId="575" priority="6" operator="between">
      <formula>0%</formula>
      <formula>I26</formula>
    </cfRule>
  </conditionalFormatting>
  <conditionalFormatting sqref="G26">
    <cfRule type="cellIs" dxfId="574" priority="1" operator="lessThan">
      <formula>0%</formula>
    </cfRule>
    <cfRule type="cellIs" dxfId="573" priority="2" operator="greaterThan">
      <formula>J26</formula>
    </cfRule>
    <cfRule type="cellIs" dxfId="572" priority="3" operator="between">
      <formula>0%</formula>
      <formula>J26</formula>
    </cfRule>
  </conditionalFormatting>
  <dataValidations count="1">
    <dataValidation type="list" allowBlank="1" showInputMessage="1" showErrorMessage="1" sqref="G10:H10" xr:uid="{00000000-0002-0000-1E00-000000000000}">
      <formula1>"-, New, Renewal,"</formula1>
    </dataValidation>
  </dataValidations>
  <pageMargins left="0.7" right="0.7" top="0.75" bottom="0.75" header="0.3" footer="0.3"/>
  <pageSetup scale="74"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5842" r:id="rId4" name="Check Box 2">
              <controlPr defaultSize="0" autoFill="0" autoLine="0" autoPict="0">
                <anchor moveWithCells="1">
                  <from>
                    <xdr:col>3</xdr:col>
                    <xdr:colOff>276225</xdr:colOff>
                    <xdr:row>13</xdr:row>
                    <xdr:rowOff>9525</xdr:rowOff>
                  </from>
                  <to>
                    <xdr:col>4</xdr:col>
                    <xdr:colOff>190500</xdr:colOff>
                    <xdr:row>13</xdr:row>
                    <xdr:rowOff>285750</xdr:rowOff>
                  </to>
                </anchor>
              </controlPr>
            </control>
          </mc:Choice>
        </mc:AlternateContent>
        <mc:AlternateContent xmlns:mc="http://schemas.openxmlformats.org/markup-compatibility/2006">
          <mc:Choice Requires="x14">
            <control shapeId="35843" r:id="rId5" name="Check Box 3">
              <controlPr defaultSize="0" autoFill="0" autoLine="0" autoPict="0">
                <anchor moveWithCells="1">
                  <from>
                    <xdr:col>4</xdr:col>
                    <xdr:colOff>28575</xdr:colOff>
                    <xdr:row>13</xdr:row>
                    <xdr:rowOff>9525</xdr:rowOff>
                  </from>
                  <to>
                    <xdr:col>5</xdr:col>
                    <xdr:colOff>38100</xdr:colOff>
                    <xdr:row>13</xdr:row>
                    <xdr:rowOff>285750</xdr:rowOff>
                  </to>
                </anchor>
              </controlPr>
            </control>
          </mc:Choice>
        </mc:AlternateContent>
        <mc:AlternateContent xmlns:mc="http://schemas.openxmlformats.org/markup-compatibility/2006">
          <mc:Choice Requires="x14">
            <control shapeId="35844" r:id="rId6" name="Check Box 4">
              <controlPr defaultSize="0" autoFill="0" autoLine="0" autoPict="0">
                <anchor moveWithCells="1">
                  <from>
                    <xdr:col>3</xdr:col>
                    <xdr:colOff>657225</xdr:colOff>
                    <xdr:row>15</xdr:row>
                    <xdr:rowOff>219075</xdr:rowOff>
                  </from>
                  <to>
                    <xdr:col>4</xdr:col>
                    <xdr:colOff>571500</xdr:colOff>
                    <xdr:row>16</xdr:row>
                    <xdr:rowOff>257175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4</xdr:col>
                    <xdr:colOff>409575</xdr:colOff>
                    <xdr:row>15</xdr:row>
                    <xdr:rowOff>219075</xdr:rowOff>
                  </from>
                  <to>
                    <xdr:col>5</xdr:col>
                    <xdr:colOff>419100</xdr:colOff>
                    <xdr:row>16</xdr:row>
                    <xdr:rowOff>257175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3" operator="notBetween" id="{6AAA4151-AA49-4CC8-9EEA-62CB2EA1229E}">
            <xm:f>-1 * 'STATE CODES (NUM) &amp; MIN-MAX'!$E$34</xm:f>
            <xm:f>'STATE CODES (NUM) &amp; MIN-MAX'!$E$34</xm:f>
            <x14:dxf>
              <font>
                <color theme="5" tint="-0.499984740745262"/>
              </font>
              <fill>
                <patternFill>
                  <bgColor rgb="FFFFCCCC"/>
                </patternFill>
              </fill>
            </x14:dxf>
          </x14:cfRule>
          <xm:sqref>E30</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2">
    <pageSetUpPr fitToPage="1"/>
  </sheetPr>
  <dimension ref="A2:I28"/>
  <sheetViews>
    <sheetView showGridLines="0" showRowColHeaders="0" zoomScale="90" zoomScaleNormal="90" workbookViewId="0">
      <selection activeCell="C8" sqref="C8"/>
    </sheetView>
  </sheetViews>
  <sheetFormatPr defaultRowHeight="15" x14ac:dyDescent="0.25"/>
  <cols>
    <col min="1" max="1" width="6.42578125" style="22" customWidth="1"/>
    <col min="2" max="2" width="24.5703125" style="22" customWidth="1"/>
    <col min="3" max="3" width="39" style="22" customWidth="1"/>
    <col min="4" max="4" width="16.42578125" style="22" customWidth="1"/>
    <col min="5" max="5" width="15.42578125" style="22" customWidth="1"/>
    <col min="6" max="6" width="29.140625" style="22" customWidth="1"/>
    <col min="7" max="7" width="15.7109375" style="22" customWidth="1"/>
    <col min="8" max="8" width="6.42578125" style="22" hidden="1" customWidth="1"/>
    <col min="9" max="9" width="9.140625" style="22" hidden="1" customWidth="1"/>
    <col min="10" max="16384" width="9.140625" style="22"/>
  </cols>
  <sheetData>
    <row r="2" spans="1:8" ht="18" x14ac:dyDescent="0.25">
      <c r="B2" s="502" t="s">
        <v>192</v>
      </c>
      <c r="C2" s="503"/>
      <c r="D2" s="503"/>
      <c r="E2" s="503"/>
      <c r="F2" s="503"/>
      <c r="G2" s="503"/>
    </row>
    <row r="3" spans="1:8" ht="15.75" x14ac:dyDescent="0.25">
      <c r="B3" s="92"/>
      <c r="C3" s="92"/>
      <c r="D3" s="93"/>
      <c r="E3" s="93"/>
      <c r="F3" s="93"/>
      <c r="G3" s="93"/>
    </row>
    <row r="4" spans="1:8" ht="20.25" x14ac:dyDescent="0.3">
      <c r="B4" s="637" t="s">
        <v>418</v>
      </c>
      <c r="C4" s="637"/>
      <c r="D4" s="637"/>
      <c r="E4" s="637"/>
      <c r="F4" s="637"/>
      <c r="G4" s="637"/>
    </row>
    <row r="5" spans="1:8" ht="15.75" x14ac:dyDescent="0.25">
      <c r="B5" s="92"/>
      <c r="C5" s="92"/>
      <c r="D5" s="93"/>
      <c r="E5" s="93"/>
      <c r="F5" s="93"/>
      <c r="G5" s="93"/>
    </row>
    <row r="6" spans="1:8" ht="15.75" x14ac:dyDescent="0.25">
      <c r="B6" s="438" t="s">
        <v>193</v>
      </c>
      <c r="C6" s="399" t="str">
        <f>IF('Worksheet Prep'!D3&lt;&gt;"",'Worksheet Prep'!D3,"")</f>
        <v/>
      </c>
      <c r="D6"/>
      <c r="E6" s="438" t="s">
        <v>194</v>
      </c>
      <c r="F6" s="507" t="str">
        <f>IF('Worksheet Prep'!G5&lt;&gt;"",'Worksheet Prep'!G5,"")</f>
        <v/>
      </c>
      <c r="G6" s="508"/>
      <c r="H6" s="94"/>
    </row>
    <row r="7" spans="1:8" customFormat="1" x14ac:dyDescent="0.25">
      <c r="A7" s="22"/>
      <c r="B7" s="22"/>
      <c r="C7" s="22"/>
      <c r="D7" s="22"/>
      <c r="E7" s="22"/>
      <c r="F7" s="287"/>
      <c r="G7" s="287"/>
      <c r="H7" s="22"/>
    </row>
    <row r="8" spans="1:8" ht="15.75" x14ac:dyDescent="0.25">
      <c r="B8" s="438" t="s">
        <v>224</v>
      </c>
      <c r="C8" s="345"/>
      <c r="D8" s="438"/>
      <c r="E8" s="438" t="s">
        <v>195</v>
      </c>
      <c r="F8" s="509" t="str">
        <f>IF('Worksheet Prep'!C5&lt;&gt;"",'Worksheet Prep'!C5,"")</f>
        <v/>
      </c>
      <c r="G8" s="509"/>
      <c r="H8" s="95"/>
    </row>
    <row r="9" spans="1:8" customFormat="1" x14ac:dyDescent="0.25">
      <c r="A9" s="22"/>
      <c r="B9" s="22"/>
      <c r="C9" s="22"/>
      <c r="D9" s="22"/>
      <c r="E9" s="22"/>
      <c r="F9" s="287"/>
      <c r="G9" s="287"/>
      <c r="H9" s="22"/>
    </row>
    <row r="10" spans="1:8" ht="15.75" x14ac:dyDescent="0.25">
      <c r="B10" s="438" t="s">
        <v>196</v>
      </c>
      <c r="C10" s="435" t="str">
        <f>'Additional Info'!F2</f>
        <v>Praetorian Insurance - 3501</v>
      </c>
      <c r="D10" s="438"/>
      <c r="E10" s="438" t="s">
        <v>299</v>
      </c>
      <c r="F10" s="132" t="str">
        <f>B4</f>
        <v>New York</v>
      </c>
      <c r="G10" s="101"/>
    </row>
    <row r="11" spans="1:8" ht="24" customHeight="1" x14ac:dyDescent="0.25">
      <c r="B11" s="438" t="s">
        <v>197</v>
      </c>
      <c r="C11" s="96">
        <f>VLOOKUP(C10,'STATE CODES (NUM) &amp; MIN-MAX'!B56:D58,3,FALSE)</f>
        <v>21172</v>
      </c>
      <c r="D11" s="101"/>
      <c r="E11" s="101"/>
      <c r="F11" s="93"/>
      <c r="G11" s="93"/>
    </row>
    <row r="12" spans="1:8" ht="15.75" x14ac:dyDescent="0.25">
      <c r="B12" s="438"/>
      <c r="C12" s="97"/>
      <c r="D12" s="434"/>
      <c r="E12" s="434"/>
      <c r="F12" s="93"/>
      <c r="G12" s="93"/>
    </row>
    <row r="13" spans="1:8" x14ac:dyDescent="0.25">
      <c r="B13" s="499" t="s">
        <v>441</v>
      </c>
      <c r="C13" s="499"/>
      <c r="D13" s="499"/>
      <c r="E13" s="499"/>
      <c r="F13" s="499"/>
      <c r="G13" s="499"/>
    </row>
    <row r="14" spans="1:8" ht="15.75" thickBot="1" x14ac:dyDescent="0.3">
      <c r="B14" s="500"/>
      <c r="C14" s="500"/>
      <c r="D14" s="500"/>
      <c r="E14" s="500"/>
      <c r="F14" s="500"/>
      <c r="G14" s="500"/>
    </row>
    <row r="15" spans="1:8" x14ac:dyDescent="0.25">
      <c r="B15" s="657" t="s">
        <v>198</v>
      </c>
      <c r="C15" s="497" t="s">
        <v>199</v>
      </c>
      <c r="D15" s="497" t="s">
        <v>200</v>
      </c>
      <c r="E15" s="497" t="s">
        <v>201</v>
      </c>
      <c r="F15" s="497" t="s">
        <v>202</v>
      </c>
      <c r="G15" s="497" t="s">
        <v>203</v>
      </c>
    </row>
    <row r="16" spans="1:8" ht="15.75" thickBot="1" x14ac:dyDescent="0.3">
      <c r="B16" s="658"/>
      <c r="C16" s="498"/>
      <c r="D16" s="498"/>
      <c r="E16" s="498"/>
      <c r="F16" s="498"/>
      <c r="G16" s="498"/>
    </row>
    <row r="17" spans="2:9" ht="45" customHeight="1" thickBot="1" x14ac:dyDescent="0.3">
      <c r="B17" s="272" t="s">
        <v>419</v>
      </c>
      <c r="C17" s="288" t="s">
        <v>422</v>
      </c>
      <c r="D17" s="346">
        <v>0</v>
      </c>
      <c r="E17" s="346">
        <v>0</v>
      </c>
      <c r="F17" s="364"/>
      <c r="G17" s="431" t="s">
        <v>206</v>
      </c>
      <c r="H17" s="407">
        <v>0.02</v>
      </c>
      <c r="I17" s="407">
        <v>0.02</v>
      </c>
    </row>
    <row r="18" spans="2:9" ht="45" customHeight="1" thickBot="1" x14ac:dyDescent="0.3">
      <c r="B18" s="273" t="s">
        <v>207</v>
      </c>
      <c r="C18" s="138" t="s">
        <v>422</v>
      </c>
      <c r="D18" s="348">
        <v>0</v>
      </c>
      <c r="E18" s="348">
        <v>0</v>
      </c>
      <c r="F18" s="366"/>
      <c r="G18" s="432" t="s">
        <v>206</v>
      </c>
      <c r="H18" s="407">
        <v>0.02</v>
      </c>
      <c r="I18" s="407">
        <v>0.02</v>
      </c>
    </row>
    <row r="19" spans="2:9" ht="45" customHeight="1" thickBot="1" x14ac:dyDescent="0.3">
      <c r="B19" s="273" t="s">
        <v>208</v>
      </c>
      <c r="C19" s="138" t="s">
        <v>422</v>
      </c>
      <c r="D19" s="348">
        <v>0</v>
      </c>
      <c r="E19" s="348">
        <v>0</v>
      </c>
      <c r="F19" s="366"/>
      <c r="G19" s="432" t="s">
        <v>206</v>
      </c>
      <c r="H19" s="407">
        <v>0.02</v>
      </c>
      <c r="I19" s="407">
        <v>0.02</v>
      </c>
    </row>
    <row r="20" spans="2:9" ht="45" customHeight="1" thickBot="1" x14ac:dyDescent="0.3">
      <c r="B20" s="273" t="s">
        <v>210</v>
      </c>
      <c r="C20" s="138" t="s">
        <v>422</v>
      </c>
      <c r="D20" s="348">
        <v>0</v>
      </c>
      <c r="E20" s="348">
        <v>0</v>
      </c>
      <c r="F20" s="366"/>
      <c r="G20" s="432" t="s">
        <v>206</v>
      </c>
      <c r="H20" s="407">
        <v>0.02</v>
      </c>
      <c r="I20" s="407">
        <v>0.02</v>
      </c>
    </row>
    <row r="21" spans="2:9" ht="45" customHeight="1" thickBot="1" x14ac:dyDescent="0.3">
      <c r="B21" s="273" t="s">
        <v>288</v>
      </c>
      <c r="C21" s="138" t="s">
        <v>422</v>
      </c>
      <c r="D21" s="348">
        <v>0</v>
      </c>
      <c r="E21" s="348">
        <v>0</v>
      </c>
      <c r="F21" s="366"/>
      <c r="G21" s="432" t="s">
        <v>206</v>
      </c>
      <c r="H21" s="407">
        <v>0.02</v>
      </c>
      <c r="I21" s="407">
        <v>0.02</v>
      </c>
    </row>
    <row r="22" spans="2:9" ht="45" customHeight="1" thickBot="1" x14ac:dyDescent="0.3">
      <c r="B22" s="273" t="s">
        <v>420</v>
      </c>
      <c r="C22" s="138" t="s">
        <v>422</v>
      </c>
      <c r="D22" s="348">
        <v>0</v>
      </c>
      <c r="E22" s="348">
        <v>0</v>
      </c>
      <c r="F22" s="366"/>
      <c r="G22" s="432" t="s">
        <v>206</v>
      </c>
      <c r="H22" s="407">
        <v>0.02</v>
      </c>
      <c r="I22" s="407">
        <v>0.02</v>
      </c>
    </row>
    <row r="23" spans="2:9" ht="45" customHeight="1" thickBot="1" x14ac:dyDescent="0.3">
      <c r="B23" s="274" t="s">
        <v>421</v>
      </c>
      <c r="C23" s="139" t="s">
        <v>422</v>
      </c>
      <c r="D23" s="447">
        <v>0</v>
      </c>
      <c r="E23" s="447">
        <v>0</v>
      </c>
      <c r="F23" s="369"/>
      <c r="G23" s="433" t="s">
        <v>206</v>
      </c>
      <c r="H23" s="407">
        <v>0.02</v>
      </c>
      <c r="I23" s="407">
        <v>0.02</v>
      </c>
    </row>
    <row r="24" spans="2:9" ht="16.5" thickBot="1" x14ac:dyDescent="0.3">
      <c r="B24" s="92" t="s">
        <v>214</v>
      </c>
      <c r="C24" s="92"/>
      <c r="D24" s="282">
        <f>-1 * SUM(D17:D23)</f>
        <v>0</v>
      </c>
      <c r="E24" s="282">
        <f>SUM(E17:E23)</f>
        <v>0</v>
      </c>
      <c r="F24" s="93"/>
      <c r="G24" s="93"/>
    </row>
    <row r="25" spans="2:9" ht="15.75" x14ac:dyDescent="0.25">
      <c r="B25" s="92"/>
      <c r="C25" s="92"/>
      <c r="D25" s="93"/>
      <c r="E25" s="93"/>
      <c r="F25" s="93"/>
      <c r="G25" s="93"/>
    </row>
    <row r="26" spans="2:9" ht="16.5" thickBot="1" x14ac:dyDescent="0.3">
      <c r="B26" s="92"/>
      <c r="C26" s="437"/>
      <c r="D26" s="437" t="s">
        <v>287</v>
      </c>
      <c r="E26" s="444">
        <f>SUM(D24:E24)</f>
        <v>0</v>
      </c>
      <c r="F26" s="659" t="s">
        <v>443</v>
      </c>
      <c r="G26" s="660"/>
    </row>
    <row r="27" spans="2:9" ht="15.75" x14ac:dyDescent="0.25">
      <c r="B27" s="92"/>
      <c r="C27" s="92"/>
      <c r="D27" s="100"/>
      <c r="E27" s="93"/>
      <c r="F27" s="93"/>
      <c r="G27" s="93"/>
    </row>
    <row r="28" spans="2:9" ht="16.5" thickBot="1" x14ac:dyDescent="0.3">
      <c r="B28" s="99" t="s">
        <v>217</v>
      </c>
      <c r="C28" s="496" t="str">
        <f>IF('Worksheet Prep'!D4&lt;&gt;"",'Worksheet Prep'!D4,"")</f>
        <v/>
      </c>
      <c r="D28" s="496"/>
      <c r="E28" s="99" t="s">
        <v>218</v>
      </c>
      <c r="F28" s="117" t="str">
        <f>IF('Worksheet Prep'!J6&lt;&gt;"",'Worksheet Prep'!J6,"")</f>
        <v/>
      </c>
    </row>
  </sheetData>
  <sheetProtection algorithmName="SHA-512" hashValue="S8HD5ghSrSOCnvNiyX0+GReZGeVkvCLUrkBSWqkFGs66lwx8IRyRqhY9oj3KYmirgJrFYN4asUa8PQdVWn2LKg==" saltValue="dL5SiveSe8nG3/O8hWrXYQ==" spinCount="100000" sheet="1" objects="1" scenarios="1" selectLockedCells="1"/>
  <mergeCells count="13">
    <mergeCell ref="G15:G16"/>
    <mergeCell ref="C28:D28"/>
    <mergeCell ref="B2:G2"/>
    <mergeCell ref="B4:G4"/>
    <mergeCell ref="F6:G6"/>
    <mergeCell ref="F8:G8"/>
    <mergeCell ref="B13:G14"/>
    <mergeCell ref="B15:B16"/>
    <mergeCell ref="C15:C16"/>
    <mergeCell ref="D15:D16"/>
    <mergeCell ref="E15:E16"/>
    <mergeCell ref="F15:F16"/>
    <mergeCell ref="F26:G26"/>
  </mergeCells>
  <conditionalFormatting sqref="D17">
    <cfRule type="cellIs" dxfId="570" priority="41" operator="lessThan">
      <formula>0%</formula>
    </cfRule>
    <cfRule type="cellIs" dxfId="569" priority="42" operator="greaterThan">
      <formula>H17</formula>
    </cfRule>
    <cfRule type="cellIs" dxfId="568" priority="43" operator="between">
      <formula>0%</formula>
      <formula>H17</formula>
    </cfRule>
  </conditionalFormatting>
  <conditionalFormatting sqref="E17">
    <cfRule type="cellIs" dxfId="567" priority="37" operator="lessThan">
      <formula>0%</formula>
    </cfRule>
    <cfRule type="cellIs" dxfId="566" priority="38" operator="greaterThan">
      <formula>I17</formula>
    </cfRule>
    <cfRule type="cellIs" dxfId="565" priority="39" operator="between">
      <formula>0%</formula>
      <formula>I17</formula>
    </cfRule>
  </conditionalFormatting>
  <conditionalFormatting sqref="E18">
    <cfRule type="cellIs" dxfId="564" priority="34" operator="lessThan">
      <formula>0%</formula>
    </cfRule>
    <cfRule type="cellIs" dxfId="563" priority="35" operator="greaterThan">
      <formula>I18</formula>
    </cfRule>
    <cfRule type="cellIs" dxfId="562" priority="36" operator="between">
      <formula>0%</formula>
      <formula>I18</formula>
    </cfRule>
  </conditionalFormatting>
  <conditionalFormatting sqref="D18">
    <cfRule type="cellIs" dxfId="561" priority="31" operator="lessThan">
      <formula>0%</formula>
    </cfRule>
    <cfRule type="cellIs" dxfId="560" priority="32" operator="greaterThan">
      <formula>H18</formula>
    </cfRule>
    <cfRule type="cellIs" dxfId="559" priority="33" operator="between">
      <formula>0%</formula>
      <formula>H18</formula>
    </cfRule>
  </conditionalFormatting>
  <conditionalFormatting sqref="D19">
    <cfRule type="cellIs" dxfId="558" priority="28" operator="lessThan">
      <formula>0%</formula>
    </cfRule>
    <cfRule type="cellIs" dxfId="557" priority="29" operator="greaterThan">
      <formula>H19</formula>
    </cfRule>
    <cfRule type="cellIs" dxfId="556" priority="30" operator="between">
      <formula>0%</formula>
      <formula>H19</formula>
    </cfRule>
  </conditionalFormatting>
  <conditionalFormatting sqref="E19">
    <cfRule type="cellIs" dxfId="555" priority="25" operator="lessThan">
      <formula>0%</formula>
    </cfRule>
    <cfRule type="cellIs" dxfId="554" priority="26" operator="greaterThan">
      <formula>I19</formula>
    </cfRule>
    <cfRule type="cellIs" dxfId="553" priority="27" operator="between">
      <formula>0%</formula>
      <formula>I19</formula>
    </cfRule>
  </conditionalFormatting>
  <conditionalFormatting sqref="E20">
    <cfRule type="cellIs" dxfId="552" priority="22" operator="lessThan">
      <formula>0%</formula>
    </cfRule>
    <cfRule type="cellIs" dxfId="551" priority="23" operator="greaterThan">
      <formula>I20</formula>
    </cfRule>
    <cfRule type="cellIs" dxfId="550" priority="24" operator="between">
      <formula>0%</formula>
      <formula>I20</formula>
    </cfRule>
  </conditionalFormatting>
  <conditionalFormatting sqref="D20">
    <cfRule type="cellIs" dxfId="549" priority="19" operator="lessThan">
      <formula>0%</formula>
    </cfRule>
    <cfRule type="cellIs" dxfId="548" priority="20" operator="greaterThan">
      <formula>H20</formula>
    </cfRule>
    <cfRule type="cellIs" dxfId="547" priority="21" operator="between">
      <formula>0%</formula>
      <formula>H20</formula>
    </cfRule>
  </conditionalFormatting>
  <conditionalFormatting sqref="D21">
    <cfRule type="cellIs" dxfId="546" priority="16" operator="lessThan">
      <formula>0%</formula>
    </cfRule>
    <cfRule type="cellIs" dxfId="545" priority="17" operator="greaterThan">
      <formula>H21</formula>
    </cfRule>
    <cfRule type="cellIs" dxfId="544" priority="18" operator="between">
      <formula>0%</formula>
      <formula>H21</formula>
    </cfRule>
  </conditionalFormatting>
  <conditionalFormatting sqref="E21">
    <cfRule type="cellIs" dxfId="543" priority="13" operator="lessThan">
      <formula>0%</formula>
    </cfRule>
    <cfRule type="cellIs" dxfId="542" priority="14" operator="greaterThan">
      <formula>I21</formula>
    </cfRule>
    <cfRule type="cellIs" dxfId="541" priority="15" operator="between">
      <formula>0%</formula>
      <formula>I21</formula>
    </cfRule>
  </conditionalFormatting>
  <conditionalFormatting sqref="E22">
    <cfRule type="cellIs" dxfId="540" priority="10" operator="lessThan">
      <formula>0%</formula>
    </cfRule>
    <cfRule type="cellIs" dxfId="539" priority="11" operator="greaterThan">
      <formula>I22</formula>
    </cfRule>
    <cfRule type="cellIs" dxfId="538" priority="12" operator="between">
      <formula>0%</formula>
      <formula>I22</formula>
    </cfRule>
  </conditionalFormatting>
  <conditionalFormatting sqref="D22">
    <cfRule type="cellIs" dxfId="537" priority="7" operator="lessThan">
      <formula>0%</formula>
    </cfRule>
    <cfRule type="cellIs" dxfId="536" priority="8" operator="greaterThan">
      <formula>H22</formula>
    </cfRule>
    <cfRule type="cellIs" dxfId="535" priority="9" operator="between">
      <formula>0%</formula>
      <formula>H22</formula>
    </cfRule>
  </conditionalFormatting>
  <conditionalFormatting sqref="D23">
    <cfRule type="cellIs" dxfId="534" priority="4" operator="lessThan">
      <formula>0%</formula>
    </cfRule>
    <cfRule type="cellIs" dxfId="533" priority="5" operator="greaterThan">
      <formula>H23</formula>
    </cfRule>
    <cfRule type="cellIs" dxfId="532" priority="6" operator="between">
      <formula>0%</formula>
      <formula>H23</formula>
    </cfRule>
  </conditionalFormatting>
  <conditionalFormatting sqref="E23">
    <cfRule type="cellIs" dxfId="531" priority="1" operator="lessThan">
      <formula>0%</formula>
    </cfRule>
    <cfRule type="cellIs" dxfId="530" priority="2" operator="greaterThan">
      <formula>I23</formula>
    </cfRule>
    <cfRule type="cellIs" dxfId="529"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37CFA760-510D-4784-AE3B-BBDBC46DE5D2}">
            <xm:f>-1 * 'STATE CODES (NUM) &amp; MIN-MAX'!$E$35</xm:f>
            <xm:f>'STATE CODES (NUM) &amp; MIN-MAX'!$E$35</xm:f>
            <x14:dxf>
              <font>
                <color theme="5" tint="-0.499984740745262"/>
              </font>
              <fill>
                <patternFill>
                  <bgColor rgb="FFFFCCCC"/>
                </patternFill>
              </fill>
            </x14:dxf>
          </x14:cfRule>
          <xm:sqref>E26</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28515625" hidden="1" customWidth="1"/>
    <col min="9" max="9" width="9.140625"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425</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North Carolina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442</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72" t="s">
        <v>204</v>
      </c>
      <c r="C17" s="288" t="s">
        <v>352</v>
      </c>
      <c r="D17" s="346">
        <v>0</v>
      </c>
      <c r="E17" s="346">
        <v>0</v>
      </c>
      <c r="F17" s="364"/>
      <c r="G17" s="431" t="s">
        <v>206</v>
      </c>
      <c r="H17" s="407">
        <v>0.1</v>
      </c>
      <c r="I17" s="407">
        <v>0.1</v>
      </c>
    </row>
    <row r="18" spans="1:9" ht="45" customHeight="1" thickBot="1" x14ac:dyDescent="0.3">
      <c r="A18" s="22"/>
      <c r="B18" s="273" t="s">
        <v>207</v>
      </c>
      <c r="C18" s="138" t="s">
        <v>352</v>
      </c>
      <c r="D18" s="348">
        <v>0</v>
      </c>
      <c r="E18" s="348">
        <v>0</v>
      </c>
      <c r="F18" s="366"/>
      <c r="G18" s="432" t="s">
        <v>206</v>
      </c>
      <c r="H18" s="407">
        <v>0.1</v>
      </c>
      <c r="I18" s="407">
        <v>0.1</v>
      </c>
    </row>
    <row r="19" spans="1:9" ht="45" customHeight="1" thickBot="1" x14ac:dyDescent="0.3">
      <c r="A19" s="22"/>
      <c r="B19" s="273" t="s">
        <v>208</v>
      </c>
      <c r="C19" s="138" t="s">
        <v>352</v>
      </c>
      <c r="D19" s="348">
        <v>0</v>
      </c>
      <c r="E19" s="348">
        <v>0</v>
      </c>
      <c r="F19" s="366"/>
      <c r="G19" s="432" t="s">
        <v>206</v>
      </c>
      <c r="H19" s="407">
        <v>0.1</v>
      </c>
      <c r="I19" s="416">
        <v>0.1</v>
      </c>
    </row>
    <row r="20" spans="1:9" ht="45" customHeight="1" thickBot="1" x14ac:dyDescent="0.3">
      <c r="A20" s="22"/>
      <c r="B20" s="273" t="s">
        <v>288</v>
      </c>
      <c r="C20" s="138" t="s">
        <v>352</v>
      </c>
      <c r="D20" s="348">
        <v>0</v>
      </c>
      <c r="E20" s="348">
        <v>0</v>
      </c>
      <c r="F20" s="366"/>
      <c r="G20" s="432" t="s">
        <v>206</v>
      </c>
      <c r="H20" s="407">
        <v>0.1</v>
      </c>
      <c r="I20" s="407">
        <v>0.1</v>
      </c>
    </row>
    <row r="21" spans="1:9" ht="45" customHeight="1" thickBot="1" x14ac:dyDescent="0.3">
      <c r="A21" s="22"/>
      <c r="B21" s="273" t="s">
        <v>210</v>
      </c>
      <c r="C21" s="138" t="s">
        <v>352</v>
      </c>
      <c r="D21" s="348">
        <v>0</v>
      </c>
      <c r="E21" s="348">
        <v>0</v>
      </c>
      <c r="F21" s="366"/>
      <c r="G21" s="432" t="s">
        <v>206</v>
      </c>
      <c r="H21" s="407">
        <v>0.1</v>
      </c>
      <c r="I21" s="407">
        <v>0.1</v>
      </c>
    </row>
    <row r="22" spans="1:9" ht="45" customHeight="1" thickBot="1" x14ac:dyDescent="0.3">
      <c r="A22" s="22"/>
      <c r="B22" s="273" t="s">
        <v>289</v>
      </c>
      <c r="C22" s="138" t="s">
        <v>352</v>
      </c>
      <c r="D22" s="348">
        <v>0</v>
      </c>
      <c r="E22" s="348">
        <v>0</v>
      </c>
      <c r="F22" s="366"/>
      <c r="G22" s="432" t="s">
        <v>206</v>
      </c>
      <c r="H22" s="407">
        <v>0.1</v>
      </c>
      <c r="I22" s="407">
        <v>0.1</v>
      </c>
    </row>
    <row r="23" spans="1:9" ht="45" customHeight="1" thickBot="1" x14ac:dyDescent="0.3">
      <c r="A23" s="22"/>
      <c r="B23" s="274" t="s">
        <v>213</v>
      </c>
      <c r="C23" s="139" t="s">
        <v>352</v>
      </c>
      <c r="D23" s="447">
        <v>0</v>
      </c>
      <c r="E23" s="447">
        <v>0</v>
      </c>
      <c r="F23" s="369"/>
      <c r="G23" s="433" t="s">
        <v>206</v>
      </c>
      <c r="H23" s="407">
        <v>0.1</v>
      </c>
      <c r="I23" s="407">
        <v>0.1</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4">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LAQ8f0w2jhIC508N9eL3LicufvcJJKDyZuih0uFujY0+7afONbwEuDaSfMAxwaSUvwTHFSyBCaVA346uiJl/1Q==" saltValue="KCjo0f6/DXlIe397a7DQOA=="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527" priority="41" operator="lessThan">
      <formula>0%</formula>
    </cfRule>
    <cfRule type="cellIs" dxfId="526" priority="42" operator="greaterThan">
      <formula>H17</formula>
    </cfRule>
    <cfRule type="cellIs" dxfId="525" priority="43" operator="between">
      <formula>0%</formula>
      <formula>H17</formula>
    </cfRule>
  </conditionalFormatting>
  <conditionalFormatting sqref="E17">
    <cfRule type="cellIs" dxfId="524" priority="38" operator="lessThan">
      <formula>0%</formula>
    </cfRule>
    <cfRule type="cellIs" dxfId="523" priority="39" operator="greaterThan">
      <formula>I17</formula>
    </cfRule>
    <cfRule type="cellIs" dxfId="522" priority="40" operator="between">
      <formula>0%</formula>
      <formula>I17</formula>
    </cfRule>
  </conditionalFormatting>
  <conditionalFormatting sqref="E18">
    <cfRule type="cellIs" dxfId="521" priority="35" operator="lessThan">
      <formula>0%</formula>
    </cfRule>
    <cfRule type="cellIs" dxfId="520" priority="36" operator="greaterThan">
      <formula>I18</formula>
    </cfRule>
    <cfRule type="cellIs" dxfId="519" priority="37" operator="between">
      <formula>0%</formula>
      <formula>I18</formula>
    </cfRule>
  </conditionalFormatting>
  <conditionalFormatting sqref="D18">
    <cfRule type="cellIs" dxfId="518" priority="32" operator="lessThan">
      <formula>0%</formula>
    </cfRule>
    <cfRule type="cellIs" dxfId="517" priority="33" operator="greaterThan">
      <formula>H18</formula>
    </cfRule>
    <cfRule type="cellIs" dxfId="516" priority="34" operator="between">
      <formula>0%</formula>
      <formula>H18</formula>
    </cfRule>
  </conditionalFormatting>
  <conditionalFormatting sqref="D19">
    <cfRule type="cellIs" dxfId="515" priority="29" operator="lessThan">
      <formula>0%</formula>
    </cfRule>
    <cfRule type="cellIs" dxfId="514" priority="30" operator="greaterThan">
      <formula>H19</formula>
    </cfRule>
    <cfRule type="cellIs" dxfId="513" priority="31" operator="between">
      <formula>0%</formula>
      <formula>H19</formula>
    </cfRule>
  </conditionalFormatting>
  <conditionalFormatting sqref="E19">
    <cfRule type="cellIs" dxfId="512" priority="26" operator="lessThan">
      <formula>0%</formula>
    </cfRule>
    <cfRule type="cellIs" dxfId="511" priority="27" operator="greaterThan">
      <formula>I19</formula>
    </cfRule>
    <cfRule type="cellIs" dxfId="510" priority="28" operator="between">
      <formula>0%</formula>
      <formula>I19</formula>
    </cfRule>
  </conditionalFormatting>
  <conditionalFormatting sqref="E20">
    <cfRule type="cellIs" dxfId="509" priority="23" operator="lessThan">
      <formula>0%</formula>
    </cfRule>
    <cfRule type="cellIs" dxfId="508" priority="24" operator="greaterThan">
      <formula>I20</formula>
    </cfRule>
    <cfRule type="cellIs" dxfId="507" priority="25" operator="between">
      <formula>0%</formula>
      <formula>I20</formula>
    </cfRule>
  </conditionalFormatting>
  <conditionalFormatting sqref="D20">
    <cfRule type="cellIs" dxfId="506" priority="20" operator="lessThan">
      <formula>0%</formula>
    </cfRule>
    <cfRule type="cellIs" dxfId="505" priority="21" operator="greaterThan">
      <formula>H20</formula>
    </cfRule>
    <cfRule type="cellIs" dxfId="504" priority="22" operator="between">
      <formula>0%</formula>
      <formula>H20</formula>
    </cfRule>
  </conditionalFormatting>
  <conditionalFormatting sqref="D21">
    <cfRule type="cellIs" dxfId="503" priority="17" operator="lessThan">
      <formula>0%</formula>
    </cfRule>
    <cfRule type="cellIs" dxfId="502" priority="18" operator="greaterThan">
      <formula>H21</formula>
    </cfRule>
    <cfRule type="cellIs" dxfId="501" priority="19" operator="between">
      <formula>0%</formula>
      <formula>H21</formula>
    </cfRule>
  </conditionalFormatting>
  <conditionalFormatting sqref="E21">
    <cfRule type="cellIs" dxfId="500" priority="14" operator="lessThan">
      <formula>0%</formula>
    </cfRule>
    <cfRule type="cellIs" dxfId="499" priority="15" operator="greaterThan">
      <formula>I21</formula>
    </cfRule>
    <cfRule type="cellIs" dxfId="498" priority="16" operator="between">
      <formula>0%</formula>
      <formula>I21</formula>
    </cfRule>
  </conditionalFormatting>
  <conditionalFormatting sqref="E22">
    <cfRule type="cellIs" dxfId="497" priority="11" operator="lessThan">
      <formula>0%</formula>
    </cfRule>
    <cfRule type="cellIs" dxfId="496" priority="12" operator="greaterThan">
      <formula>I22</formula>
    </cfRule>
    <cfRule type="cellIs" dxfId="495" priority="13" operator="between">
      <formula>0%</formula>
      <formula>I22</formula>
    </cfRule>
  </conditionalFormatting>
  <conditionalFormatting sqref="D22">
    <cfRule type="cellIs" dxfId="494" priority="8" operator="lessThan">
      <formula>0%</formula>
    </cfRule>
    <cfRule type="cellIs" dxfId="493" priority="9" operator="greaterThan">
      <formula>H22</formula>
    </cfRule>
    <cfRule type="cellIs" dxfId="492" priority="10" operator="between">
      <formula>0%</formula>
      <formula>H22</formula>
    </cfRule>
  </conditionalFormatting>
  <conditionalFormatting sqref="D23">
    <cfRule type="cellIs" dxfId="491" priority="5" operator="lessThan">
      <formula>0%</formula>
    </cfRule>
    <cfRule type="cellIs" dxfId="490" priority="6" operator="greaterThan">
      <formula>H23</formula>
    </cfRule>
    <cfRule type="cellIs" dxfId="489" priority="7" operator="between">
      <formula>0%</formula>
      <formula>H23</formula>
    </cfRule>
  </conditionalFormatting>
  <conditionalFormatting sqref="E23">
    <cfRule type="cellIs" dxfId="488" priority="2" operator="lessThan">
      <formula>0%</formula>
    </cfRule>
    <cfRule type="cellIs" dxfId="487" priority="3" operator="greaterThan">
      <formula>I23</formula>
    </cfRule>
    <cfRule type="cellIs" dxfId="486" priority="4"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AA3DA20D-05AD-4CAE-894A-D8A9DAE7349C}">
            <xm:f>-1 * 'STATE CODES (NUM) &amp; MIN-MAX'!$E$36</xm:f>
            <xm:f>'STATE CODES (NUM) &amp; MIN-MAX'!$E$36</xm:f>
            <x14:dxf>
              <font>
                <color theme="5" tint="-0.499984740745262"/>
              </font>
              <fill>
                <patternFill>
                  <bgColor rgb="FFFFCCCC"/>
                </patternFill>
              </fill>
            </x14:dxf>
          </x14:cfRule>
          <xm:sqref>E26</xm:sqref>
        </x14:conditionalFormatting>
      </x14:conditionalFormatting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pageSetUpPr fitToPage="1"/>
  </sheetPr>
  <dimension ref="B2:O32"/>
  <sheetViews>
    <sheetView showGridLines="0" showRowColHeaders="0" zoomScale="90" zoomScaleNormal="90" workbookViewId="0">
      <selection activeCell="B9" sqref="B9:C9"/>
    </sheetView>
  </sheetViews>
  <sheetFormatPr defaultRowHeight="15" x14ac:dyDescent="0.25"/>
  <cols>
    <col min="1" max="1" width="6.42578125" customWidth="1"/>
    <col min="2" max="2" width="23.140625" customWidth="1"/>
    <col min="3" max="3" width="17.85546875" customWidth="1"/>
    <col min="4" max="4" width="12.85546875" customWidth="1"/>
    <col min="5" max="5" width="11.5703125" customWidth="1"/>
    <col min="6" max="6" width="13.5703125" customWidth="1"/>
    <col min="7" max="7" width="12.140625" customWidth="1"/>
    <col min="8" max="8" width="29.7109375" customWidth="1"/>
    <col min="9" max="9" width="6.42578125" customWidth="1"/>
    <col min="10" max="11" width="9.140625" hidden="1" customWidth="1"/>
    <col min="14" max="15" width="9.140625" style="454"/>
  </cols>
  <sheetData>
    <row r="2" spans="2:9" ht="18" x14ac:dyDescent="0.25">
      <c r="B2" s="594" t="s">
        <v>353</v>
      </c>
      <c r="C2" s="595"/>
      <c r="D2" s="595"/>
      <c r="E2" s="595"/>
      <c r="F2" s="595"/>
      <c r="G2" s="595"/>
      <c r="H2" s="595"/>
      <c r="I2" s="596"/>
    </row>
    <row r="3" spans="2:9" ht="15.75" x14ac:dyDescent="0.25">
      <c r="B3" s="203"/>
      <c r="C3" s="201"/>
      <c r="D3" s="201"/>
      <c r="E3" s="201"/>
      <c r="F3" s="201"/>
      <c r="G3" s="201"/>
      <c r="H3" s="201"/>
      <c r="I3" s="201"/>
    </row>
    <row r="4" spans="2:9" x14ac:dyDescent="0.25">
      <c r="B4" s="205" t="s">
        <v>303</v>
      </c>
      <c r="C4" s="201"/>
      <c r="D4" s="201"/>
      <c r="E4" s="201"/>
      <c r="F4" s="201"/>
      <c r="G4" s="201"/>
      <c r="H4" s="201"/>
      <c r="I4" s="201"/>
    </row>
    <row r="5" spans="2:9" ht="16.5" thickBot="1" x14ac:dyDescent="0.3">
      <c r="B5" s="206"/>
      <c r="C5" s="201"/>
      <c r="D5" s="201"/>
      <c r="E5" s="201"/>
      <c r="F5" s="201"/>
      <c r="G5" s="201"/>
      <c r="H5" s="201"/>
      <c r="I5" s="201"/>
    </row>
    <row r="6" spans="2:9" x14ac:dyDescent="0.25">
      <c r="B6" s="547" t="s">
        <v>228</v>
      </c>
      <c r="C6" s="549"/>
      <c r="D6" s="547" t="s">
        <v>229</v>
      </c>
      <c r="E6" s="549"/>
      <c r="F6" s="549"/>
      <c r="G6" s="549"/>
      <c r="H6" s="549"/>
      <c r="I6" s="548"/>
    </row>
    <row r="7" spans="2:9" ht="24.95" customHeight="1" thickBot="1" x14ac:dyDescent="0.3">
      <c r="B7" s="569" t="str">
        <f>IF('Worksheet Prep'!D3&lt;&gt;"",'Worksheet Prep'!D3,"")</f>
        <v/>
      </c>
      <c r="C7" s="570"/>
      <c r="D7" s="759" t="str">
        <f>IF('Worksheet Prep'!G5&lt;&gt;"",'Worksheet Prep'!G5,"")</f>
        <v/>
      </c>
      <c r="E7" s="760"/>
      <c r="F7" s="760"/>
      <c r="G7" s="760"/>
      <c r="H7" s="760"/>
      <c r="I7" s="761"/>
    </row>
    <row r="8" spans="2:9" x14ac:dyDescent="0.25">
      <c r="B8" s="547" t="s">
        <v>230</v>
      </c>
      <c r="C8" s="548"/>
      <c r="D8" s="547" t="s">
        <v>231</v>
      </c>
      <c r="E8" s="549"/>
      <c r="F8" s="549"/>
      <c r="G8" s="549"/>
      <c r="H8" s="549"/>
      <c r="I8" s="548"/>
    </row>
    <row r="9" spans="2:9" ht="24.95" customHeight="1" thickBot="1" x14ac:dyDescent="0.3">
      <c r="B9" s="608"/>
      <c r="C9" s="609"/>
      <c r="D9" s="783" t="str">
        <f>IF('Worksheet Prep'!C5&lt;&gt;"",'Worksheet Prep'!C5,"")</f>
        <v/>
      </c>
      <c r="E9" s="760"/>
      <c r="F9" s="760"/>
      <c r="G9" s="760"/>
      <c r="H9" s="760"/>
      <c r="I9" s="761"/>
    </row>
    <row r="10" spans="2:9" x14ac:dyDescent="0.25">
      <c r="B10" s="547" t="s">
        <v>232</v>
      </c>
      <c r="C10" s="548"/>
      <c r="D10" s="547" t="s">
        <v>233</v>
      </c>
      <c r="E10" s="549"/>
      <c r="F10" s="549"/>
      <c r="G10" s="549"/>
      <c r="H10" s="549"/>
      <c r="I10" s="548"/>
    </row>
    <row r="11" spans="2:9" ht="24.95" customHeight="1" thickBot="1" x14ac:dyDescent="0.3">
      <c r="B11" s="567" t="str">
        <f>'Additional Info'!F2</f>
        <v>Praetorian Insurance - 3501</v>
      </c>
      <c r="C11" s="568"/>
      <c r="D11" s="166" t="s">
        <v>235</v>
      </c>
      <c r="E11" s="736" t="str">
        <f>D9</f>
        <v/>
      </c>
      <c r="F11" s="737"/>
      <c r="G11" s="171" t="s">
        <v>236</v>
      </c>
      <c r="H11" s="736" t="str">
        <f>IF('Worksheet Prep'!E5&lt;&gt;"",'Worksheet Prep'!E5,"")</f>
        <v/>
      </c>
      <c r="I11" s="616"/>
    </row>
    <row r="12" spans="2:9" x14ac:dyDescent="0.25">
      <c r="B12" s="547" t="s">
        <v>234</v>
      </c>
      <c r="C12" s="549"/>
      <c r="D12" s="738" t="s">
        <v>354</v>
      </c>
      <c r="E12" s="739"/>
      <c r="F12" s="739"/>
      <c r="G12" s="739"/>
      <c r="H12" s="739"/>
      <c r="I12" s="740"/>
    </row>
    <row r="13" spans="2:9" ht="24.95" customHeight="1" thickBot="1" x14ac:dyDescent="0.3">
      <c r="B13" s="770">
        <f>VLOOKUP(B11,'STATE CODES (NUM) &amp; MIN-MAX'!B56:D58,3,FALSE)</f>
        <v>21172</v>
      </c>
      <c r="C13" s="771"/>
      <c r="D13" s="223"/>
      <c r="E13" s="224"/>
      <c r="F13" s="170" t="s">
        <v>355</v>
      </c>
      <c r="G13" s="778"/>
      <c r="H13" s="778"/>
      <c r="I13" s="779"/>
    </row>
    <row r="14" spans="2:9" x14ac:dyDescent="0.25">
      <c r="B14" s="159" t="s">
        <v>238</v>
      </c>
      <c r="C14" s="156" t="s">
        <v>344</v>
      </c>
      <c r="D14" s="784" t="s">
        <v>356</v>
      </c>
      <c r="E14" s="785"/>
      <c r="F14" s="785"/>
      <c r="G14" s="785"/>
      <c r="H14" s="785"/>
      <c r="I14" s="786"/>
    </row>
    <row r="15" spans="2:9" ht="24.95" customHeight="1" thickBot="1" x14ac:dyDescent="0.3">
      <c r="B15" s="405" t="str">
        <f>'Worksheet Prep'!D4</f>
        <v/>
      </c>
      <c r="C15" s="406" t="str">
        <f>IF('Worksheet Prep'!J6&lt;&gt;"",'Worksheet Prep'!J6,"")</f>
        <v/>
      </c>
      <c r="D15" s="751" t="s">
        <v>357</v>
      </c>
      <c r="E15" s="752"/>
      <c r="F15" s="752"/>
      <c r="G15" s="780">
        <v>0</v>
      </c>
      <c r="H15" s="780"/>
      <c r="I15" s="781"/>
    </row>
    <row r="16" spans="2:9" ht="24.95" customHeight="1" x14ac:dyDescent="0.25">
      <c r="B16" s="772" t="s">
        <v>240</v>
      </c>
      <c r="C16" s="773"/>
      <c r="D16" s="789" t="s">
        <v>358</v>
      </c>
      <c r="E16" s="790"/>
      <c r="F16" s="790"/>
      <c r="G16" s="790"/>
      <c r="H16" s="790"/>
      <c r="I16" s="791"/>
    </row>
    <row r="17" spans="2:11" ht="24.95" customHeight="1" thickBot="1" x14ac:dyDescent="0.3">
      <c r="B17" s="762"/>
      <c r="C17" s="763"/>
      <c r="D17" s="382">
        <v>0</v>
      </c>
      <c r="E17" s="221" t="s">
        <v>359</v>
      </c>
      <c r="F17" s="383">
        <v>0</v>
      </c>
      <c r="G17" s="161" t="s">
        <v>360</v>
      </c>
      <c r="H17" s="161"/>
      <c r="I17" s="160"/>
    </row>
    <row r="18" spans="2:11" x14ac:dyDescent="0.25">
      <c r="B18" s="164"/>
      <c r="C18" s="165"/>
      <c r="D18" s="755" t="s">
        <v>243</v>
      </c>
      <c r="E18" s="756"/>
      <c r="F18" s="569" t="s">
        <v>200</v>
      </c>
      <c r="G18" s="556" t="s">
        <v>201</v>
      </c>
      <c r="H18" s="547" t="s">
        <v>244</v>
      </c>
      <c r="I18" s="548"/>
    </row>
    <row r="19" spans="2:11" ht="39.75" thickBot="1" x14ac:dyDescent="0.3">
      <c r="B19" s="245" t="s">
        <v>198</v>
      </c>
      <c r="C19" s="254" t="s">
        <v>199</v>
      </c>
      <c r="D19" s="250" t="s">
        <v>200</v>
      </c>
      <c r="E19" s="243" t="s">
        <v>201</v>
      </c>
      <c r="F19" s="621"/>
      <c r="G19" s="616"/>
      <c r="H19" s="621"/>
      <c r="I19" s="616"/>
    </row>
    <row r="20" spans="2:11" ht="45" customHeight="1" thickBot="1" x14ac:dyDescent="0.3">
      <c r="B20" s="449" t="s">
        <v>204</v>
      </c>
      <c r="C20" s="229" t="s">
        <v>245</v>
      </c>
      <c r="D20" s="351">
        <v>0</v>
      </c>
      <c r="E20" s="351">
        <v>0</v>
      </c>
      <c r="F20" s="346">
        <v>0</v>
      </c>
      <c r="G20" s="346">
        <v>0</v>
      </c>
      <c r="H20" s="776"/>
      <c r="I20" s="777"/>
      <c r="J20" s="416">
        <v>0.1</v>
      </c>
      <c r="K20" s="416">
        <v>0.1</v>
      </c>
    </row>
    <row r="21" spans="2:11" ht="45" customHeight="1" thickBot="1" x14ac:dyDescent="0.3">
      <c r="B21" s="449" t="s">
        <v>207</v>
      </c>
      <c r="C21" s="230" t="s">
        <v>245</v>
      </c>
      <c r="D21" s="353">
        <v>0</v>
      </c>
      <c r="E21" s="353">
        <v>0</v>
      </c>
      <c r="F21" s="348">
        <v>0</v>
      </c>
      <c r="G21" s="348">
        <v>0</v>
      </c>
      <c r="H21" s="774"/>
      <c r="I21" s="775"/>
      <c r="J21" s="416">
        <v>0.1</v>
      </c>
      <c r="K21" s="416">
        <v>0.1</v>
      </c>
    </row>
    <row r="22" spans="2:11" ht="45" customHeight="1" thickBot="1" x14ac:dyDescent="0.3">
      <c r="B22" s="449" t="s">
        <v>208</v>
      </c>
      <c r="C22" s="230" t="s">
        <v>246</v>
      </c>
      <c r="D22" s="353">
        <v>0</v>
      </c>
      <c r="E22" s="353">
        <v>0</v>
      </c>
      <c r="F22" s="348">
        <v>0</v>
      </c>
      <c r="G22" s="348">
        <v>0</v>
      </c>
      <c r="H22" s="774"/>
      <c r="I22" s="775"/>
      <c r="J22" s="416">
        <v>0.05</v>
      </c>
      <c r="K22" s="416">
        <v>0.05</v>
      </c>
    </row>
    <row r="23" spans="2:11" ht="45" customHeight="1" thickBot="1" x14ac:dyDescent="0.3">
      <c r="B23" s="449" t="s">
        <v>210</v>
      </c>
      <c r="C23" s="230" t="s">
        <v>246</v>
      </c>
      <c r="D23" s="353">
        <v>0</v>
      </c>
      <c r="E23" s="353">
        <v>0</v>
      </c>
      <c r="F23" s="348">
        <v>0</v>
      </c>
      <c r="G23" s="348">
        <v>0</v>
      </c>
      <c r="H23" s="774"/>
      <c r="I23" s="775"/>
      <c r="J23" s="416">
        <v>0.05</v>
      </c>
      <c r="K23" s="416">
        <v>0.05</v>
      </c>
    </row>
    <row r="24" spans="2:11" ht="45" customHeight="1" thickBot="1" x14ac:dyDescent="0.3">
      <c r="B24" s="449" t="s">
        <v>247</v>
      </c>
      <c r="C24" s="230" t="s">
        <v>245</v>
      </c>
      <c r="D24" s="353">
        <v>0</v>
      </c>
      <c r="E24" s="353">
        <v>0</v>
      </c>
      <c r="F24" s="348">
        <v>0</v>
      </c>
      <c r="G24" s="348">
        <v>0</v>
      </c>
      <c r="H24" s="774"/>
      <c r="I24" s="775"/>
      <c r="J24" s="416">
        <v>0.1</v>
      </c>
      <c r="K24" s="416">
        <v>0.1</v>
      </c>
    </row>
    <row r="25" spans="2:11" ht="45" customHeight="1" thickBot="1" x14ac:dyDescent="0.3">
      <c r="B25" s="449" t="s">
        <v>248</v>
      </c>
      <c r="C25" s="230" t="s">
        <v>246</v>
      </c>
      <c r="D25" s="353">
        <v>0</v>
      </c>
      <c r="E25" s="353">
        <v>0</v>
      </c>
      <c r="F25" s="348">
        <v>0</v>
      </c>
      <c r="G25" s="348">
        <v>0</v>
      </c>
      <c r="H25" s="774"/>
      <c r="I25" s="775"/>
      <c r="J25" s="416">
        <v>0.05</v>
      </c>
      <c r="K25" s="416">
        <v>0.05</v>
      </c>
    </row>
    <row r="26" spans="2:11" ht="45" customHeight="1" thickBot="1" x14ac:dyDescent="0.3">
      <c r="B26" s="450" t="s">
        <v>249</v>
      </c>
      <c r="C26" s="231" t="s">
        <v>246</v>
      </c>
      <c r="D26" s="355">
        <v>0</v>
      </c>
      <c r="E26" s="355">
        <v>0</v>
      </c>
      <c r="F26" s="447">
        <v>0</v>
      </c>
      <c r="G26" s="447">
        <v>0</v>
      </c>
      <c r="H26" s="787"/>
      <c r="I26" s="788"/>
      <c r="J26" s="416">
        <v>0.05</v>
      </c>
      <c r="K26" s="416">
        <v>0.05</v>
      </c>
    </row>
    <row r="27" spans="2:11" ht="15.75" thickBot="1" x14ac:dyDescent="0.3">
      <c r="B27" s="167" t="s">
        <v>250</v>
      </c>
      <c r="C27" s="157"/>
      <c r="D27" s="158">
        <f>SUM(D20:D26)</f>
        <v>0</v>
      </c>
      <c r="E27" s="158">
        <f>SUM(E20:E26)</f>
        <v>0</v>
      </c>
      <c r="F27" s="168">
        <f>-1 * SUM(F20:F26)</f>
        <v>0</v>
      </c>
      <c r="G27" s="169">
        <f>SUM(G20:G26)</f>
        <v>0</v>
      </c>
      <c r="H27" s="782" t="s">
        <v>361</v>
      </c>
      <c r="I27" s="782"/>
    </row>
    <row r="28" spans="2:11" ht="67.5" customHeight="1" x14ac:dyDescent="0.25">
      <c r="B28" s="215"/>
      <c r="C28" s="248"/>
      <c r="D28" s="211"/>
      <c r="E28" s="211"/>
      <c r="F28" s="162"/>
      <c r="G28" s="162"/>
      <c r="H28" s="782"/>
      <c r="I28" s="782"/>
    </row>
    <row r="29" spans="2:11" x14ac:dyDescent="0.25">
      <c r="B29" s="215"/>
      <c r="C29" s="248"/>
      <c r="D29" s="211"/>
      <c r="E29" s="211"/>
      <c r="F29" s="163"/>
      <c r="G29" s="163"/>
      <c r="H29" s="226"/>
      <c r="I29" s="174"/>
    </row>
    <row r="30" spans="2:11" ht="15.75" thickBot="1" x14ac:dyDescent="0.3">
      <c r="B30" s="222"/>
      <c r="C30" s="210" t="s">
        <v>215</v>
      </c>
      <c r="D30" s="248"/>
      <c r="E30" s="593">
        <f>SUM(F27:G27)</f>
        <v>0</v>
      </c>
      <c r="F30" s="593"/>
      <c r="G30" s="201" t="s">
        <v>443</v>
      </c>
      <c r="H30" s="201"/>
      <c r="I30" s="192" t="s">
        <v>216</v>
      </c>
    </row>
    <row r="31" spans="2:11" x14ac:dyDescent="0.25">
      <c r="B31" s="255"/>
      <c r="C31" s="208"/>
      <c r="D31" s="210"/>
      <c r="E31" s="201"/>
      <c r="F31" s="210"/>
      <c r="G31" s="201"/>
      <c r="H31" s="201"/>
      <c r="I31" s="201"/>
    </row>
    <row r="32" spans="2:11" ht="16.5" thickBot="1" x14ac:dyDescent="0.3">
      <c r="B32" s="204" t="s">
        <v>217</v>
      </c>
      <c r="C32" s="585" t="str">
        <f>'Worksheet Prep'!D4</f>
        <v/>
      </c>
      <c r="D32" s="585"/>
      <c r="E32" s="227" t="s">
        <v>218</v>
      </c>
      <c r="F32" s="232" t="str">
        <f>IF('Worksheet Prep'!J6&lt;&gt;"",'Worksheet Prep'!J6,"")</f>
        <v/>
      </c>
      <c r="G32" s="202"/>
      <c r="H32" s="202"/>
      <c r="I32" s="202"/>
    </row>
  </sheetData>
  <sheetProtection algorithmName="SHA-512" hashValue="t63Xkds/KaBh2zJEckSiqMxtU4Axvx234FQNTgZGEVRjEhEzxmPfLpSVXGzHg6tBspyPkYHOS6lV+8Ix9C0rmQ==" saltValue="iYySCwLwXxMlr9hB/mkXjg==" spinCount="100000" sheet="1" objects="1" scenarios="1" selectLockedCells="1"/>
  <mergeCells count="38">
    <mergeCell ref="G13:I13"/>
    <mergeCell ref="G15:I15"/>
    <mergeCell ref="H27:I28"/>
    <mergeCell ref="D6:I6"/>
    <mergeCell ref="D7:I7"/>
    <mergeCell ref="D8:I8"/>
    <mergeCell ref="D9:I9"/>
    <mergeCell ref="D10:I10"/>
    <mergeCell ref="D12:I12"/>
    <mergeCell ref="D14:I14"/>
    <mergeCell ref="H24:I24"/>
    <mergeCell ref="H25:I25"/>
    <mergeCell ref="H26:I26"/>
    <mergeCell ref="F18:F19"/>
    <mergeCell ref="G18:G19"/>
    <mergeCell ref="D16:I16"/>
    <mergeCell ref="H22:I22"/>
    <mergeCell ref="H23:I23"/>
    <mergeCell ref="D18:E18"/>
    <mergeCell ref="H18:I19"/>
    <mergeCell ref="B17:C17"/>
    <mergeCell ref="H20:I20"/>
    <mergeCell ref="H21:I21"/>
    <mergeCell ref="C32:D32"/>
    <mergeCell ref="B6:C6"/>
    <mergeCell ref="B7:C7"/>
    <mergeCell ref="E30:F30"/>
    <mergeCell ref="B11:C11"/>
    <mergeCell ref="B12:C12"/>
    <mergeCell ref="B13:C13"/>
    <mergeCell ref="B16:C16"/>
    <mergeCell ref="D15:F15"/>
    <mergeCell ref="B10:C10"/>
    <mergeCell ref="B2:I2"/>
    <mergeCell ref="E11:F11"/>
    <mergeCell ref="H11:I11"/>
    <mergeCell ref="B8:C8"/>
    <mergeCell ref="B9:C9"/>
  </mergeCells>
  <conditionalFormatting sqref="F20">
    <cfRule type="cellIs" dxfId="484" priority="80" operator="lessThan">
      <formula>0%</formula>
    </cfRule>
    <cfRule type="cellIs" dxfId="483" priority="81" operator="greaterThan">
      <formula>J20</formula>
    </cfRule>
    <cfRule type="cellIs" dxfId="482" priority="82" operator="between">
      <formula>0%</formula>
      <formula>J20</formula>
    </cfRule>
  </conditionalFormatting>
  <conditionalFormatting sqref="G20">
    <cfRule type="cellIs" dxfId="481" priority="37" operator="lessThan">
      <formula>0%</formula>
    </cfRule>
    <cfRule type="cellIs" dxfId="480" priority="38" operator="greaterThan">
      <formula>K20</formula>
    </cfRule>
    <cfRule type="cellIs" dxfId="479" priority="39" operator="between">
      <formula>0%</formula>
      <formula>K20</formula>
    </cfRule>
  </conditionalFormatting>
  <conditionalFormatting sqref="G21">
    <cfRule type="cellIs" dxfId="478" priority="34" operator="lessThan">
      <formula>0%</formula>
    </cfRule>
    <cfRule type="cellIs" dxfId="477" priority="35" operator="greaterThan">
      <formula>K21</formula>
    </cfRule>
    <cfRule type="cellIs" dxfId="476" priority="36" operator="between">
      <formula>0%</formula>
      <formula>K21</formula>
    </cfRule>
  </conditionalFormatting>
  <conditionalFormatting sqref="F21">
    <cfRule type="cellIs" dxfId="475" priority="31" operator="lessThan">
      <formula>0%</formula>
    </cfRule>
    <cfRule type="cellIs" dxfId="474" priority="32" operator="greaterThan">
      <formula>J21</formula>
    </cfRule>
    <cfRule type="cellIs" dxfId="473" priority="33" operator="between">
      <formula>0%</formula>
      <formula>J21</formula>
    </cfRule>
  </conditionalFormatting>
  <conditionalFormatting sqref="F22">
    <cfRule type="cellIs" dxfId="472" priority="28" operator="lessThan">
      <formula>0%</formula>
    </cfRule>
    <cfRule type="cellIs" dxfId="471" priority="29" operator="greaterThan">
      <formula>J22</formula>
    </cfRule>
    <cfRule type="cellIs" dxfId="470" priority="30" operator="between">
      <formula>0%</formula>
      <formula>J22</formula>
    </cfRule>
  </conditionalFormatting>
  <conditionalFormatting sqref="G22">
    <cfRule type="cellIs" dxfId="469" priority="25" operator="lessThan">
      <formula>0%</formula>
    </cfRule>
    <cfRule type="cellIs" dxfId="468" priority="26" operator="greaterThan">
      <formula>K22</formula>
    </cfRule>
    <cfRule type="cellIs" dxfId="467" priority="27" operator="between">
      <formula>0%</formula>
      <formula>K22</formula>
    </cfRule>
  </conditionalFormatting>
  <conditionalFormatting sqref="G23">
    <cfRule type="cellIs" dxfId="466" priority="22" operator="lessThan">
      <formula>0%</formula>
    </cfRule>
    <cfRule type="cellIs" dxfId="465" priority="23" operator="greaterThan">
      <formula>K23</formula>
    </cfRule>
    <cfRule type="cellIs" dxfId="464" priority="24" operator="between">
      <formula>0%</formula>
      <formula>K23</formula>
    </cfRule>
  </conditionalFormatting>
  <conditionalFormatting sqref="F23">
    <cfRule type="cellIs" dxfId="463" priority="19" operator="lessThan">
      <formula>0%</formula>
    </cfRule>
    <cfRule type="cellIs" dxfId="462" priority="20" operator="greaterThan">
      <formula>J23</formula>
    </cfRule>
    <cfRule type="cellIs" dxfId="461" priority="21" operator="between">
      <formula>0%</formula>
      <formula>J23</formula>
    </cfRule>
  </conditionalFormatting>
  <conditionalFormatting sqref="F24">
    <cfRule type="cellIs" dxfId="460" priority="16" operator="lessThan">
      <formula>0%</formula>
    </cfRule>
    <cfRule type="cellIs" dxfId="459" priority="17" operator="greaterThan">
      <formula>J24</formula>
    </cfRule>
    <cfRule type="cellIs" dxfId="458" priority="18" operator="between">
      <formula>0%</formula>
      <formula>J24</formula>
    </cfRule>
  </conditionalFormatting>
  <conditionalFormatting sqref="G24">
    <cfRule type="cellIs" dxfId="457" priority="13" operator="lessThan">
      <formula>0%</formula>
    </cfRule>
    <cfRule type="cellIs" dxfId="456" priority="14" operator="greaterThan">
      <formula>K24</formula>
    </cfRule>
    <cfRule type="cellIs" dxfId="455" priority="15" operator="between">
      <formula>0%</formula>
      <formula>K24</formula>
    </cfRule>
  </conditionalFormatting>
  <conditionalFormatting sqref="G25">
    <cfRule type="cellIs" dxfId="454" priority="10" operator="lessThan">
      <formula>0%</formula>
    </cfRule>
    <cfRule type="cellIs" dxfId="453" priority="11" operator="greaterThan">
      <formula>K25</formula>
    </cfRule>
    <cfRule type="cellIs" dxfId="452" priority="12" operator="between">
      <formula>0%</formula>
      <formula>K25</formula>
    </cfRule>
  </conditionalFormatting>
  <conditionalFormatting sqref="F25">
    <cfRule type="cellIs" dxfId="451" priority="7" operator="lessThan">
      <formula>0%</formula>
    </cfRule>
    <cfRule type="cellIs" dxfId="450" priority="8" operator="greaterThan">
      <formula>J25</formula>
    </cfRule>
    <cfRule type="cellIs" dxfId="449" priority="9" operator="between">
      <formula>0%</formula>
      <formula>J25</formula>
    </cfRule>
  </conditionalFormatting>
  <conditionalFormatting sqref="F26">
    <cfRule type="cellIs" dxfId="448" priority="4" operator="lessThan">
      <formula>0%</formula>
    </cfRule>
    <cfRule type="cellIs" dxfId="447" priority="5" operator="greaterThan">
      <formula>J26</formula>
    </cfRule>
    <cfRule type="cellIs" dxfId="446" priority="6" operator="between">
      <formula>0%</formula>
      <formula>J26</formula>
    </cfRule>
  </conditionalFormatting>
  <conditionalFormatting sqref="G26">
    <cfRule type="cellIs" dxfId="445" priority="1" operator="lessThan">
      <formula>0%</formula>
    </cfRule>
    <cfRule type="cellIs" dxfId="444" priority="2" operator="greaterThan">
      <formula>K26</formula>
    </cfRule>
    <cfRule type="cellIs" dxfId="443" priority="3" operator="between">
      <formula>0%</formula>
      <formula>K26</formula>
    </cfRule>
  </conditionalFormatting>
  <pageMargins left="0.7" right="0.7" top="0.75" bottom="0.75" header="0.3" footer="0.3"/>
  <pageSetup scale="71" fitToHeight="0" orientation="portrait" r:id="rId1"/>
  <ignoredErrors>
    <ignoredError sqref="F27" formula="1"/>
    <ignoredError sqref="B1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7891" r:id="rId4" name="Check Box 3">
              <controlPr defaultSize="0" autoFill="0" autoLine="0" autoPict="0">
                <anchor moveWithCells="1">
                  <from>
                    <xdr:col>3</xdr:col>
                    <xdr:colOff>133350</xdr:colOff>
                    <xdr:row>12</xdr:row>
                    <xdr:rowOff>9525</xdr:rowOff>
                  </from>
                  <to>
                    <xdr:col>4</xdr:col>
                    <xdr:colOff>57150</xdr:colOff>
                    <xdr:row>12</xdr:row>
                    <xdr:rowOff>285750</xdr:rowOff>
                  </to>
                </anchor>
              </controlPr>
            </control>
          </mc:Choice>
        </mc:AlternateContent>
        <mc:AlternateContent xmlns:mc="http://schemas.openxmlformats.org/markup-compatibility/2006">
          <mc:Choice Requires="x14">
            <control shapeId="37892" r:id="rId5" name="Check Box 4">
              <controlPr defaultSize="0" autoFill="0" autoLine="0" autoPict="0">
                <anchor moveWithCells="1">
                  <from>
                    <xdr:col>3</xdr:col>
                    <xdr:colOff>752475</xdr:colOff>
                    <xdr:row>12</xdr:row>
                    <xdr:rowOff>9525</xdr:rowOff>
                  </from>
                  <to>
                    <xdr:col>4</xdr:col>
                    <xdr:colOff>676275</xdr:colOff>
                    <xdr:row>12</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0" operator="notBetween" id="{9F2E14C6-67E9-400C-B7F9-7B4B039A4963}">
            <xm:f>-1 * 'STATE CODES (NUM) &amp; MIN-MAX'!$E$39</xm:f>
            <xm:f>'STATE CODES (NUM) &amp; MIN-MAX'!$E$39</xm:f>
            <x14:dxf>
              <font>
                <color theme="5" tint="-0.499984740745262"/>
              </font>
              <fill>
                <patternFill>
                  <bgColor rgb="FFFFCCCC"/>
                </patternFill>
              </fill>
            </x14:dxf>
          </x14:cfRule>
          <xm:sqref>E30</xm:sqref>
        </x14:conditionalFormatting>
      </x14:conditionalFormatting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pageSetUpPr fitToPage="1"/>
  </sheetPr>
  <dimension ref="A1:I32"/>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17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130</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PENNSYLVANIA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362</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1" t="s">
        <v>333</v>
      </c>
      <c r="C17" s="285" t="s">
        <v>205</v>
      </c>
      <c r="D17" s="346">
        <v>0</v>
      </c>
      <c r="E17" s="346">
        <v>0</v>
      </c>
      <c r="F17" s="364"/>
      <c r="G17" s="431" t="s">
        <v>206</v>
      </c>
      <c r="H17" s="407">
        <v>0.1</v>
      </c>
      <c r="I17" s="407">
        <v>0.1</v>
      </c>
    </row>
    <row r="18" spans="1:9" ht="45" customHeight="1" thickBot="1" x14ac:dyDescent="0.3">
      <c r="A18" s="22"/>
      <c r="B18" s="341" t="s">
        <v>334</v>
      </c>
      <c r="C18" s="140" t="s">
        <v>205</v>
      </c>
      <c r="D18" s="348">
        <v>0</v>
      </c>
      <c r="E18" s="348">
        <v>0</v>
      </c>
      <c r="F18" s="366"/>
      <c r="G18" s="432" t="s">
        <v>206</v>
      </c>
      <c r="H18" s="407">
        <v>0.1</v>
      </c>
      <c r="I18" s="407">
        <v>0.1</v>
      </c>
    </row>
    <row r="19" spans="1:9" ht="45" customHeight="1" thickBot="1" x14ac:dyDescent="0.3">
      <c r="A19" s="22"/>
      <c r="B19" s="341" t="s">
        <v>335</v>
      </c>
      <c r="C19" s="140" t="s">
        <v>209</v>
      </c>
      <c r="D19" s="348">
        <v>0</v>
      </c>
      <c r="E19" s="348">
        <v>0</v>
      </c>
      <c r="F19" s="366"/>
      <c r="G19" s="432" t="s">
        <v>206</v>
      </c>
      <c r="H19" s="407">
        <v>0.05</v>
      </c>
      <c r="I19" s="407">
        <v>0.05</v>
      </c>
    </row>
    <row r="20" spans="1:9" ht="45" customHeight="1" thickBot="1" x14ac:dyDescent="0.3">
      <c r="A20" s="22"/>
      <c r="B20" s="341" t="s">
        <v>336</v>
      </c>
      <c r="C20" s="140" t="s">
        <v>209</v>
      </c>
      <c r="D20" s="348">
        <v>0</v>
      </c>
      <c r="E20" s="348">
        <v>0</v>
      </c>
      <c r="F20" s="366"/>
      <c r="G20" s="432" t="s">
        <v>206</v>
      </c>
      <c r="H20" s="407">
        <v>0.05</v>
      </c>
      <c r="I20" s="407">
        <v>0.05</v>
      </c>
    </row>
    <row r="21" spans="1:9" ht="45" customHeight="1" thickBot="1" x14ac:dyDescent="0.3">
      <c r="A21" s="22"/>
      <c r="B21" s="341" t="s">
        <v>337</v>
      </c>
      <c r="C21" s="140" t="s">
        <v>209</v>
      </c>
      <c r="D21" s="348">
        <v>0</v>
      </c>
      <c r="E21" s="348">
        <v>0</v>
      </c>
      <c r="F21" s="366"/>
      <c r="G21" s="432" t="s">
        <v>206</v>
      </c>
      <c r="H21" s="407">
        <v>0.05</v>
      </c>
      <c r="I21" s="407">
        <v>0.05</v>
      </c>
    </row>
    <row r="22" spans="1:9" ht="45" customHeight="1" thickBot="1" x14ac:dyDescent="0.3">
      <c r="A22" s="22"/>
      <c r="B22" s="341" t="s">
        <v>338</v>
      </c>
      <c r="C22" s="140" t="s">
        <v>205</v>
      </c>
      <c r="D22" s="348">
        <v>0</v>
      </c>
      <c r="E22" s="348">
        <v>0</v>
      </c>
      <c r="F22" s="366"/>
      <c r="G22" s="432" t="s">
        <v>206</v>
      </c>
      <c r="H22" s="407">
        <v>0.1</v>
      </c>
      <c r="I22" s="407">
        <v>0.1</v>
      </c>
    </row>
    <row r="23" spans="1:9" ht="45" customHeight="1" thickBot="1" x14ac:dyDescent="0.3">
      <c r="A23" s="22"/>
      <c r="B23" s="341" t="s">
        <v>339</v>
      </c>
      <c r="C23" s="140" t="s">
        <v>209</v>
      </c>
      <c r="D23" s="348">
        <v>0</v>
      </c>
      <c r="E23" s="348">
        <v>0</v>
      </c>
      <c r="F23" s="366"/>
      <c r="G23" s="432" t="s">
        <v>206</v>
      </c>
      <c r="H23" s="407">
        <v>0.05</v>
      </c>
      <c r="I23" s="407">
        <v>0.05</v>
      </c>
    </row>
    <row r="24" spans="1:9" ht="45" customHeight="1" thickBot="1" x14ac:dyDescent="0.3">
      <c r="A24" s="22"/>
      <c r="B24" s="262" t="s">
        <v>340</v>
      </c>
      <c r="C24" s="140" t="s">
        <v>209</v>
      </c>
      <c r="D24" s="348">
        <v>0</v>
      </c>
      <c r="E24" s="348">
        <v>0</v>
      </c>
      <c r="F24" s="366"/>
      <c r="G24" s="432" t="s">
        <v>206</v>
      </c>
      <c r="H24" s="407">
        <v>0.05</v>
      </c>
      <c r="I24" s="407">
        <v>0.05</v>
      </c>
    </row>
    <row r="25" spans="1:9" ht="45" customHeight="1" thickBot="1" x14ac:dyDescent="0.3">
      <c r="A25" s="22"/>
      <c r="B25" s="98" t="s">
        <v>341</v>
      </c>
      <c r="C25" s="286" t="s">
        <v>205</v>
      </c>
      <c r="D25" s="447">
        <v>0</v>
      </c>
      <c r="E25" s="447">
        <v>0</v>
      </c>
      <c r="F25" s="369"/>
      <c r="G25" s="433" t="s">
        <v>206</v>
      </c>
      <c r="H25" s="407">
        <v>0.1</v>
      </c>
      <c r="I25" s="407">
        <v>0.1</v>
      </c>
    </row>
    <row r="26" spans="1:9" ht="16.5" thickBot="1" x14ac:dyDescent="0.3">
      <c r="A26" s="22"/>
      <c r="B26" s="92" t="s">
        <v>214</v>
      </c>
      <c r="C26" s="92"/>
      <c r="D26" s="282">
        <f>-1 * SUM(D17:D25)</f>
        <v>0</v>
      </c>
      <c r="E26" s="282">
        <f>SUM(E17:E25)</f>
        <v>0</v>
      </c>
      <c r="F26" s="93"/>
      <c r="G26" s="93"/>
      <c r="H26" s="22"/>
    </row>
    <row r="27" spans="1:9" ht="15.75" x14ac:dyDescent="0.25">
      <c r="A27" s="22"/>
      <c r="B27" s="92"/>
      <c r="C27" s="92"/>
      <c r="D27" s="93"/>
      <c r="E27" s="93"/>
      <c r="F27" s="93"/>
      <c r="G27" s="93"/>
      <c r="H27" s="22"/>
    </row>
    <row r="28" spans="1:9" ht="16.5" thickBot="1" x14ac:dyDescent="0.3">
      <c r="A28" s="22"/>
      <c r="B28" s="92"/>
      <c r="C28" s="251"/>
      <c r="D28" s="251" t="s">
        <v>287</v>
      </c>
      <c r="E28" s="444">
        <f>SUM(D26:E26)</f>
        <v>0</v>
      </c>
      <c r="F28" s="659" t="s">
        <v>443</v>
      </c>
      <c r="G28" s="660"/>
      <c r="H28" s="22"/>
    </row>
    <row r="29" spans="1:9" ht="15.75" x14ac:dyDescent="0.25">
      <c r="A29" s="22"/>
      <c r="B29" s="92"/>
      <c r="C29" s="92"/>
      <c r="D29" s="100"/>
      <c r="E29" s="93"/>
      <c r="F29" s="93"/>
      <c r="G29" s="93"/>
      <c r="H29" s="22"/>
    </row>
    <row r="30" spans="1:9" ht="16.5" thickBot="1" x14ac:dyDescent="0.3">
      <c r="A30" s="22"/>
      <c r="B30" s="99" t="s">
        <v>217</v>
      </c>
      <c r="C30" s="496" t="str">
        <f>'Worksheet Prep'!D4</f>
        <v/>
      </c>
      <c r="D30" s="496"/>
      <c r="E30" s="99" t="s">
        <v>218</v>
      </c>
      <c r="F30" s="117" t="str">
        <f>IF('Worksheet Prep'!J6&lt;&gt;"",'Worksheet Prep'!J6,"")</f>
        <v/>
      </c>
      <c r="G30" s="22"/>
      <c r="H30" s="22"/>
    </row>
    <row r="31" spans="1:9" x14ac:dyDescent="0.25">
      <c r="A31" s="22"/>
      <c r="B31" s="22"/>
      <c r="C31" s="22"/>
      <c r="D31" s="22"/>
      <c r="E31" s="22"/>
      <c r="F31" s="22"/>
      <c r="G31" s="22"/>
      <c r="H31" s="22"/>
    </row>
    <row r="32" spans="1:9" x14ac:dyDescent="0.25">
      <c r="A32" s="22"/>
      <c r="B32" s="22"/>
      <c r="C32" s="22"/>
      <c r="D32" s="22"/>
      <c r="E32" s="22"/>
      <c r="F32" s="22"/>
      <c r="G32" s="22"/>
      <c r="H32" s="22"/>
    </row>
  </sheetData>
  <sheetProtection algorithmName="SHA-512" hashValue="TscHCUZ62SC1vdVbnfWxMv2JnxRBUDGl8B/uVWbnHzIqirLNlsvzRpCZD+fD65EPTjRAkp/K2ZH2tYyMs7Xx9Q==" saltValue="cLWvUeUJCT5ubppKC74+lA==" spinCount="100000" sheet="1" objects="1" scenarios="1" selectLockedCells="1"/>
  <mergeCells count="14">
    <mergeCell ref="F28:G28"/>
    <mergeCell ref="C30:D30"/>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441" priority="53" operator="lessThan">
      <formula>0%</formula>
    </cfRule>
    <cfRule type="cellIs" dxfId="440" priority="54" operator="greaterThan">
      <formula>H17</formula>
    </cfRule>
    <cfRule type="cellIs" dxfId="439" priority="55" operator="between">
      <formula>0%</formula>
      <formula>H17</formula>
    </cfRule>
  </conditionalFormatting>
  <conditionalFormatting sqref="E17">
    <cfRule type="cellIs" dxfId="438" priority="50" operator="lessThan">
      <formula>0%</formula>
    </cfRule>
    <cfRule type="cellIs" dxfId="437" priority="51" operator="greaterThan">
      <formula>I17</formula>
    </cfRule>
    <cfRule type="cellIs" dxfId="436" priority="52" operator="between">
      <formula>0%</formula>
      <formula>I17</formula>
    </cfRule>
  </conditionalFormatting>
  <conditionalFormatting sqref="E18">
    <cfRule type="cellIs" dxfId="435" priority="47" operator="lessThan">
      <formula>0%</formula>
    </cfRule>
    <cfRule type="cellIs" dxfId="434" priority="48" operator="greaterThan">
      <formula>I18</formula>
    </cfRule>
    <cfRule type="cellIs" dxfId="433" priority="49" operator="between">
      <formula>0%</formula>
      <formula>I18</formula>
    </cfRule>
  </conditionalFormatting>
  <conditionalFormatting sqref="D18">
    <cfRule type="cellIs" dxfId="432" priority="44" operator="lessThan">
      <formula>0%</formula>
    </cfRule>
    <cfRule type="cellIs" dxfId="431" priority="45" operator="greaterThan">
      <formula>H18</formula>
    </cfRule>
    <cfRule type="cellIs" dxfId="430" priority="46" operator="between">
      <formula>0%</formula>
      <formula>H18</formula>
    </cfRule>
  </conditionalFormatting>
  <conditionalFormatting sqref="D19">
    <cfRule type="cellIs" dxfId="429" priority="41" operator="lessThan">
      <formula>0%</formula>
    </cfRule>
    <cfRule type="cellIs" dxfId="428" priority="42" operator="greaterThan">
      <formula>H19</formula>
    </cfRule>
    <cfRule type="cellIs" dxfId="427" priority="43" operator="between">
      <formula>0%</formula>
      <formula>H19</formula>
    </cfRule>
  </conditionalFormatting>
  <conditionalFormatting sqref="E19">
    <cfRule type="cellIs" dxfId="426" priority="38" operator="lessThan">
      <formula>0%</formula>
    </cfRule>
    <cfRule type="cellIs" dxfId="425" priority="39" operator="greaterThan">
      <formula>I19</formula>
    </cfRule>
    <cfRule type="cellIs" dxfId="424" priority="40" operator="between">
      <formula>0%</formula>
      <formula>I19</formula>
    </cfRule>
  </conditionalFormatting>
  <conditionalFormatting sqref="E20">
    <cfRule type="cellIs" dxfId="423" priority="35" operator="lessThan">
      <formula>0%</formula>
    </cfRule>
    <cfRule type="cellIs" dxfId="422" priority="36" operator="greaterThan">
      <formula>I20</formula>
    </cfRule>
    <cfRule type="cellIs" dxfId="421" priority="37" operator="between">
      <formula>0%</formula>
      <formula>I20</formula>
    </cfRule>
  </conditionalFormatting>
  <conditionalFormatting sqref="D20">
    <cfRule type="cellIs" dxfId="420" priority="32" operator="lessThan">
      <formula>0%</formula>
    </cfRule>
    <cfRule type="cellIs" dxfId="419" priority="33" operator="greaterThan">
      <formula>H20</formula>
    </cfRule>
    <cfRule type="cellIs" dxfId="418" priority="34" operator="between">
      <formula>0%</formula>
      <formula>H20</formula>
    </cfRule>
  </conditionalFormatting>
  <conditionalFormatting sqref="D21">
    <cfRule type="cellIs" dxfId="417" priority="29" operator="lessThan">
      <formula>0%</formula>
    </cfRule>
    <cfRule type="cellIs" dxfId="416" priority="30" operator="greaterThan">
      <formula>H21</formula>
    </cfRule>
    <cfRule type="cellIs" dxfId="415" priority="31" operator="between">
      <formula>0%</formula>
      <formula>H21</formula>
    </cfRule>
  </conditionalFormatting>
  <conditionalFormatting sqref="E21">
    <cfRule type="cellIs" dxfId="414" priority="26" operator="lessThan">
      <formula>0%</formula>
    </cfRule>
    <cfRule type="cellIs" dxfId="413" priority="27" operator="greaterThan">
      <formula>I21</formula>
    </cfRule>
    <cfRule type="cellIs" dxfId="412" priority="28" operator="between">
      <formula>0%</formula>
      <formula>I21</formula>
    </cfRule>
  </conditionalFormatting>
  <conditionalFormatting sqref="E22">
    <cfRule type="cellIs" dxfId="411" priority="23" operator="lessThan">
      <formula>0%</formula>
    </cfRule>
    <cfRule type="cellIs" dxfId="410" priority="24" operator="greaterThan">
      <formula>I22</formula>
    </cfRule>
    <cfRule type="cellIs" dxfId="409" priority="25" operator="between">
      <formula>0%</formula>
      <formula>I22</formula>
    </cfRule>
  </conditionalFormatting>
  <conditionalFormatting sqref="D22">
    <cfRule type="cellIs" dxfId="408" priority="20" operator="lessThan">
      <formula>0%</formula>
    </cfRule>
    <cfRule type="cellIs" dxfId="407" priority="21" operator="greaterThan">
      <formula>H22</formula>
    </cfRule>
    <cfRule type="cellIs" dxfId="406" priority="22" operator="between">
      <formula>0%</formula>
      <formula>H22</formula>
    </cfRule>
  </conditionalFormatting>
  <conditionalFormatting sqref="D23">
    <cfRule type="cellIs" dxfId="405" priority="17" operator="lessThan">
      <formula>0%</formula>
    </cfRule>
    <cfRule type="cellIs" dxfId="404" priority="18" operator="greaterThan">
      <formula>H23</formula>
    </cfRule>
    <cfRule type="cellIs" dxfId="403" priority="19" operator="between">
      <formula>0%</formula>
      <formula>H23</formula>
    </cfRule>
  </conditionalFormatting>
  <conditionalFormatting sqref="E23">
    <cfRule type="cellIs" dxfId="402" priority="14" operator="lessThan">
      <formula>0%</formula>
    </cfRule>
    <cfRule type="cellIs" dxfId="401" priority="15" operator="greaterThan">
      <formula>I23</formula>
    </cfRule>
    <cfRule type="cellIs" dxfId="400" priority="16" operator="between">
      <formula>0%</formula>
      <formula>I23</formula>
    </cfRule>
  </conditionalFormatting>
  <conditionalFormatting sqref="E24">
    <cfRule type="cellIs" dxfId="399" priority="11" operator="lessThan">
      <formula>0%</formula>
    </cfRule>
    <cfRule type="cellIs" dxfId="398" priority="12" operator="greaterThan">
      <formula>I24</formula>
    </cfRule>
    <cfRule type="cellIs" dxfId="397" priority="13" operator="between">
      <formula>0%</formula>
      <formula>I24</formula>
    </cfRule>
  </conditionalFormatting>
  <conditionalFormatting sqref="D24">
    <cfRule type="cellIs" dxfId="396" priority="8" operator="lessThan">
      <formula>0%</formula>
    </cfRule>
    <cfRule type="cellIs" dxfId="395" priority="9" operator="greaterThan">
      <formula>H24</formula>
    </cfRule>
    <cfRule type="cellIs" dxfId="394" priority="10" operator="between">
      <formula>0%</formula>
      <formula>H24</formula>
    </cfRule>
  </conditionalFormatting>
  <conditionalFormatting sqref="D25">
    <cfRule type="cellIs" dxfId="393" priority="5" operator="lessThan">
      <formula>0%</formula>
    </cfRule>
    <cfRule type="cellIs" dxfId="392" priority="6" operator="greaterThan">
      <formula>H25</formula>
    </cfRule>
    <cfRule type="cellIs" dxfId="391" priority="7" operator="between">
      <formula>0%</formula>
      <formula>H25</formula>
    </cfRule>
  </conditionalFormatting>
  <conditionalFormatting sqref="E25">
    <cfRule type="cellIs" dxfId="390" priority="2" operator="lessThan">
      <formula>0%</formula>
    </cfRule>
    <cfRule type="cellIs" dxfId="389" priority="3" operator="greaterThan">
      <formula>I25</formula>
    </cfRule>
    <cfRule type="cellIs" dxfId="388" priority="4" operator="between">
      <formula>0%</formula>
      <formula>I25</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2DBA2617-E56A-4F91-98A8-128B723EDB7E}">
            <xm:f>-1 * 'STATE CODES (NUM) &amp; MIN-MAX'!$E$41</xm:f>
            <xm:f>'STATE CODES (NUM) &amp; MIN-MAX'!$E$41</xm:f>
            <x14:dxf>
              <font>
                <color theme="5" tint="-0.499984740745262"/>
              </font>
              <fill>
                <patternFill>
                  <bgColor rgb="FFFFCCCC"/>
                </patternFill>
              </fill>
            </x14:dxf>
          </x14:cfRule>
          <xm:sqref>E28</xm:sqref>
        </x14:conditionalFormatting>
      </x14:conditionalFormatting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131</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 customHeight="1" x14ac:dyDescent="0.25">
      <c r="A10" s="22"/>
      <c r="B10" s="252" t="s">
        <v>196</v>
      </c>
      <c r="C10" s="242" t="str">
        <f>'Additional Info'!F2</f>
        <v>Praetorian Insurance - 3501</v>
      </c>
      <c r="D10" s="94"/>
      <c r="E10" s="252" t="s">
        <v>323</v>
      </c>
      <c r="F10" s="283" t="str">
        <f>B4</f>
        <v>RHODE ISLAND</v>
      </c>
      <c r="G10" s="134"/>
      <c r="H10" s="22"/>
    </row>
    <row r="11" spans="1:8" ht="24" customHeight="1" x14ac:dyDescent="0.25">
      <c r="A11" s="22"/>
      <c r="B11" s="252" t="s">
        <v>197</v>
      </c>
      <c r="C11" s="96">
        <f>VLOOKUP(C10,'STATE CODES (NUM) &amp; MIN-MAX'!B56:D58,3,FALSE)</f>
        <v>21172</v>
      </c>
      <c r="D11" s="501"/>
      <c r="E11" s="501"/>
      <c r="F11" s="93"/>
      <c r="G11" s="93"/>
      <c r="H11" s="22"/>
    </row>
    <row r="12" spans="1:8" ht="15" customHeight="1" x14ac:dyDescent="0.25">
      <c r="A12" s="22"/>
      <c r="B12" s="252"/>
      <c r="C12" s="97"/>
      <c r="D12" s="240"/>
      <c r="E12" s="240"/>
      <c r="F12" s="93"/>
      <c r="G12" s="93"/>
      <c r="H12" s="22"/>
    </row>
    <row r="13" spans="1:8" ht="15.75" customHeight="1"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2" t="s">
        <v>204</v>
      </c>
      <c r="C17" s="135" t="s">
        <v>205</v>
      </c>
      <c r="D17" s="346">
        <v>0</v>
      </c>
      <c r="E17" s="346">
        <v>0</v>
      </c>
      <c r="F17" s="364"/>
      <c r="G17" s="431" t="s">
        <v>206</v>
      </c>
      <c r="H17" s="407">
        <v>0.1</v>
      </c>
      <c r="I17" s="407">
        <v>0.1</v>
      </c>
    </row>
    <row r="18" spans="1:9" ht="45" customHeight="1" thickBot="1" x14ac:dyDescent="0.3">
      <c r="A18" s="22"/>
      <c r="B18" s="263" t="s">
        <v>207</v>
      </c>
      <c r="C18" s="136" t="s">
        <v>205</v>
      </c>
      <c r="D18" s="348">
        <v>0</v>
      </c>
      <c r="E18" s="348">
        <v>0</v>
      </c>
      <c r="F18" s="366"/>
      <c r="G18" s="432" t="s">
        <v>206</v>
      </c>
      <c r="H18" s="407">
        <v>0.1</v>
      </c>
      <c r="I18" s="407">
        <v>0.1</v>
      </c>
    </row>
    <row r="19" spans="1:9" ht="45" customHeight="1" thickBot="1" x14ac:dyDescent="0.3">
      <c r="A19" s="22"/>
      <c r="B19" s="263" t="s">
        <v>208</v>
      </c>
      <c r="C19" s="137" t="s">
        <v>209</v>
      </c>
      <c r="D19" s="348">
        <v>0</v>
      </c>
      <c r="E19" s="348">
        <v>0</v>
      </c>
      <c r="F19" s="366"/>
      <c r="G19" s="432" t="s">
        <v>206</v>
      </c>
      <c r="H19" s="407">
        <v>0.05</v>
      </c>
      <c r="I19" s="407">
        <v>0.05</v>
      </c>
    </row>
    <row r="20" spans="1:9" ht="45" customHeight="1" thickBot="1" x14ac:dyDescent="0.3">
      <c r="A20" s="22"/>
      <c r="B20" s="263" t="s">
        <v>288</v>
      </c>
      <c r="C20" s="137" t="s">
        <v>205</v>
      </c>
      <c r="D20" s="348">
        <v>0</v>
      </c>
      <c r="E20" s="348">
        <v>0</v>
      </c>
      <c r="F20" s="366"/>
      <c r="G20" s="432" t="s">
        <v>206</v>
      </c>
      <c r="H20" s="407">
        <v>0.1</v>
      </c>
      <c r="I20" s="407">
        <v>0.1</v>
      </c>
    </row>
    <row r="21" spans="1:9" ht="45" customHeight="1" thickBot="1" x14ac:dyDescent="0.3">
      <c r="A21" s="22"/>
      <c r="B21" s="263" t="s">
        <v>210</v>
      </c>
      <c r="C21" s="137" t="s">
        <v>209</v>
      </c>
      <c r="D21" s="348">
        <v>0</v>
      </c>
      <c r="E21" s="348">
        <v>0</v>
      </c>
      <c r="F21" s="366"/>
      <c r="G21" s="432" t="s">
        <v>206</v>
      </c>
      <c r="H21" s="407">
        <v>0.05</v>
      </c>
      <c r="I21" s="407">
        <v>0.05</v>
      </c>
    </row>
    <row r="22" spans="1:9" ht="45" customHeight="1" thickBot="1" x14ac:dyDescent="0.3">
      <c r="A22" s="22"/>
      <c r="B22" s="263" t="s">
        <v>289</v>
      </c>
      <c r="C22" s="137" t="s">
        <v>209</v>
      </c>
      <c r="D22" s="348">
        <v>0</v>
      </c>
      <c r="E22" s="348">
        <v>0</v>
      </c>
      <c r="F22" s="366"/>
      <c r="G22" s="432" t="s">
        <v>206</v>
      </c>
      <c r="H22" s="407">
        <v>0.05</v>
      </c>
      <c r="I22" s="407">
        <v>0.05</v>
      </c>
    </row>
    <row r="23" spans="1:9" ht="45" customHeight="1" thickBot="1" x14ac:dyDescent="0.3">
      <c r="A23" s="22"/>
      <c r="B23" s="98"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4">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m+PBmZSb/Z9UqnbK3+JwAKJOhL3+JU41T67JKFgz1ta+zU0lQXjdzZN0/H113tYpbVf+1LQbP8Xw1LMC73J61A==" saltValue="7jf+50kRFPgZEF6bBwwPzA==" spinCount="100000" sheet="1" objects="1" scenarios="1" selectLockedCells="1"/>
  <mergeCells count="14">
    <mergeCell ref="C28:D28"/>
    <mergeCell ref="B13:G14"/>
    <mergeCell ref="B15:B16"/>
    <mergeCell ref="C15:C16"/>
    <mergeCell ref="B2:G2"/>
    <mergeCell ref="B4:G4"/>
    <mergeCell ref="F6:G6"/>
    <mergeCell ref="F8:G8"/>
    <mergeCell ref="D11:E11"/>
    <mergeCell ref="D15:D16"/>
    <mergeCell ref="E15:E16"/>
    <mergeCell ref="F15:F16"/>
    <mergeCell ref="G15:G16"/>
    <mergeCell ref="F26:G26"/>
  </mergeCells>
  <conditionalFormatting sqref="D17">
    <cfRule type="cellIs" dxfId="386" priority="41" operator="lessThan">
      <formula>0%</formula>
    </cfRule>
    <cfRule type="cellIs" dxfId="385" priority="42" operator="greaterThan">
      <formula>H17</formula>
    </cfRule>
    <cfRule type="cellIs" dxfId="384" priority="43" operator="between">
      <formula>0%</formula>
      <formula>H17</formula>
    </cfRule>
  </conditionalFormatting>
  <conditionalFormatting sqref="E17">
    <cfRule type="cellIs" dxfId="383" priority="38" operator="lessThan">
      <formula>0%</formula>
    </cfRule>
    <cfRule type="cellIs" dxfId="382" priority="39" operator="greaterThan">
      <formula>I17</formula>
    </cfRule>
    <cfRule type="cellIs" dxfId="381" priority="40" operator="between">
      <formula>0%</formula>
      <formula>I17</formula>
    </cfRule>
  </conditionalFormatting>
  <conditionalFormatting sqref="E18">
    <cfRule type="cellIs" dxfId="380" priority="35" operator="lessThan">
      <formula>0%</formula>
    </cfRule>
    <cfRule type="cellIs" dxfId="379" priority="36" operator="greaterThan">
      <formula>I18</formula>
    </cfRule>
    <cfRule type="cellIs" dxfId="378" priority="37" operator="between">
      <formula>0%</formula>
      <formula>I18</formula>
    </cfRule>
  </conditionalFormatting>
  <conditionalFormatting sqref="D18">
    <cfRule type="cellIs" dxfId="377" priority="32" operator="lessThan">
      <formula>0%</formula>
    </cfRule>
    <cfRule type="cellIs" dxfId="376" priority="33" operator="greaterThan">
      <formula>H18</formula>
    </cfRule>
    <cfRule type="cellIs" dxfId="375" priority="34" operator="between">
      <formula>0%</formula>
      <formula>H18</formula>
    </cfRule>
  </conditionalFormatting>
  <conditionalFormatting sqref="D19">
    <cfRule type="cellIs" dxfId="374" priority="29" operator="lessThan">
      <formula>0%</formula>
    </cfRule>
    <cfRule type="cellIs" dxfId="373" priority="30" operator="greaterThan">
      <formula>H19</formula>
    </cfRule>
    <cfRule type="cellIs" dxfId="372" priority="31" operator="between">
      <formula>0%</formula>
      <formula>H19</formula>
    </cfRule>
  </conditionalFormatting>
  <conditionalFormatting sqref="E19">
    <cfRule type="cellIs" dxfId="371" priority="26" operator="lessThan">
      <formula>0%</formula>
    </cfRule>
    <cfRule type="cellIs" dxfId="370" priority="27" operator="greaterThan">
      <formula>I19</formula>
    </cfRule>
    <cfRule type="cellIs" dxfId="369" priority="28" operator="between">
      <formula>0%</formula>
      <formula>I19</formula>
    </cfRule>
  </conditionalFormatting>
  <conditionalFormatting sqref="E20">
    <cfRule type="cellIs" dxfId="368" priority="23" operator="lessThan">
      <formula>0%</formula>
    </cfRule>
    <cfRule type="cellIs" dxfId="367" priority="24" operator="greaterThan">
      <formula>I20</formula>
    </cfRule>
    <cfRule type="cellIs" dxfId="366" priority="25" operator="between">
      <formula>0%</formula>
      <formula>I20</formula>
    </cfRule>
  </conditionalFormatting>
  <conditionalFormatting sqref="D20">
    <cfRule type="cellIs" dxfId="365" priority="20" operator="lessThan">
      <formula>0%</formula>
    </cfRule>
    <cfRule type="cellIs" dxfId="364" priority="21" operator="greaterThan">
      <formula>H20</formula>
    </cfRule>
    <cfRule type="cellIs" dxfId="363" priority="22" operator="between">
      <formula>0%</formula>
      <formula>H20</formula>
    </cfRule>
  </conditionalFormatting>
  <conditionalFormatting sqref="D21">
    <cfRule type="cellIs" dxfId="362" priority="17" operator="lessThan">
      <formula>0%</formula>
    </cfRule>
    <cfRule type="cellIs" dxfId="361" priority="18" operator="greaterThan">
      <formula>H21</formula>
    </cfRule>
    <cfRule type="cellIs" dxfId="360" priority="19" operator="between">
      <formula>0%</formula>
      <formula>H21</formula>
    </cfRule>
  </conditionalFormatting>
  <conditionalFormatting sqref="E21">
    <cfRule type="cellIs" dxfId="359" priority="14" operator="lessThan">
      <formula>0%</formula>
    </cfRule>
    <cfRule type="cellIs" dxfId="358" priority="15" operator="greaterThan">
      <formula>I21</formula>
    </cfRule>
    <cfRule type="cellIs" dxfId="357" priority="16" operator="between">
      <formula>0%</formula>
      <formula>I21</formula>
    </cfRule>
  </conditionalFormatting>
  <conditionalFormatting sqref="E22">
    <cfRule type="cellIs" dxfId="356" priority="11" operator="lessThan">
      <formula>0%</formula>
    </cfRule>
    <cfRule type="cellIs" dxfId="355" priority="12" operator="greaterThan">
      <formula>I22</formula>
    </cfRule>
    <cfRule type="cellIs" dxfId="354" priority="13" operator="between">
      <formula>0%</formula>
      <formula>I22</formula>
    </cfRule>
  </conditionalFormatting>
  <conditionalFormatting sqref="D22">
    <cfRule type="cellIs" dxfId="353" priority="8" operator="lessThan">
      <formula>0%</formula>
    </cfRule>
    <cfRule type="cellIs" dxfId="352" priority="9" operator="greaterThan">
      <formula>H22</formula>
    </cfRule>
    <cfRule type="cellIs" dxfId="351" priority="10" operator="between">
      <formula>0%</formula>
      <formula>H22</formula>
    </cfRule>
  </conditionalFormatting>
  <conditionalFormatting sqref="D23">
    <cfRule type="cellIs" dxfId="350" priority="5" operator="lessThan">
      <formula>0%</formula>
    </cfRule>
    <cfRule type="cellIs" dxfId="349" priority="6" operator="greaterThan">
      <formula>H23</formula>
    </cfRule>
    <cfRule type="cellIs" dxfId="348" priority="7" operator="between">
      <formula>0%</formula>
      <formula>H23</formula>
    </cfRule>
  </conditionalFormatting>
  <conditionalFormatting sqref="E23">
    <cfRule type="cellIs" dxfId="347" priority="2" operator="lessThan">
      <formula>0%</formula>
    </cfRule>
    <cfRule type="cellIs" dxfId="346" priority="3" operator="greaterThan">
      <formula>I23</formula>
    </cfRule>
    <cfRule type="cellIs" dxfId="345" priority="4"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1" operator="notBetween" id="{5ABD039C-EC85-430C-BEA7-2D0F0B5FB17B}">
            <xm:f>-1 * 'STATE CODES (NUM) &amp; MIN-MAX'!$E$42</xm:f>
            <xm:f>'STATE CODES (NUM) &amp; MIN-MAX'!$E$42</xm:f>
            <x14:dxf>
              <font>
                <color theme="5" tint="-0.499984740745262"/>
              </font>
              <fill>
                <patternFill>
                  <bgColor rgb="FFFFCCCC"/>
                </patternFill>
              </fill>
            </x14:dxf>
          </x14:cfRule>
          <xm:sqref>E26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363</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South Carolina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2" t="s">
        <v>204</v>
      </c>
      <c r="C17" s="135" t="s">
        <v>205</v>
      </c>
      <c r="D17" s="346">
        <v>0</v>
      </c>
      <c r="E17" s="346">
        <v>0</v>
      </c>
      <c r="F17" s="364"/>
      <c r="G17" s="431" t="s">
        <v>206</v>
      </c>
      <c r="H17" s="407">
        <v>0.1</v>
      </c>
      <c r="I17" s="407">
        <v>0.1</v>
      </c>
    </row>
    <row r="18" spans="1:9" ht="45" customHeight="1" thickBot="1" x14ac:dyDescent="0.3">
      <c r="A18" s="22"/>
      <c r="B18" s="263" t="s">
        <v>207</v>
      </c>
      <c r="C18" s="136" t="s">
        <v>205</v>
      </c>
      <c r="D18" s="348">
        <v>0</v>
      </c>
      <c r="E18" s="348">
        <v>0</v>
      </c>
      <c r="F18" s="366"/>
      <c r="G18" s="432" t="s">
        <v>206</v>
      </c>
      <c r="H18" s="407">
        <v>0.1</v>
      </c>
      <c r="I18" s="407">
        <v>0.1</v>
      </c>
    </row>
    <row r="19" spans="1:9" ht="45" customHeight="1" thickBot="1" x14ac:dyDescent="0.3">
      <c r="A19" s="22"/>
      <c r="B19" s="263" t="s">
        <v>208</v>
      </c>
      <c r="C19" s="137" t="s">
        <v>209</v>
      </c>
      <c r="D19" s="348">
        <v>0</v>
      </c>
      <c r="E19" s="348">
        <v>0</v>
      </c>
      <c r="F19" s="366"/>
      <c r="G19" s="432" t="s">
        <v>206</v>
      </c>
      <c r="H19" s="407">
        <v>0.05</v>
      </c>
      <c r="I19" s="407">
        <v>0.05</v>
      </c>
    </row>
    <row r="20" spans="1:9" ht="45" customHeight="1" thickBot="1" x14ac:dyDescent="0.3">
      <c r="A20" s="22"/>
      <c r="B20" s="263" t="s">
        <v>288</v>
      </c>
      <c r="C20" s="137" t="s">
        <v>205</v>
      </c>
      <c r="D20" s="348">
        <v>0</v>
      </c>
      <c r="E20" s="348">
        <v>0</v>
      </c>
      <c r="F20" s="366"/>
      <c r="G20" s="432" t="s">
        <v>206</v>
      </c>
      <c r="H20" s="407">
        <v>0.1</v>
      </c>
      <c r="I20" s="407">
        <v>0.1</v>
      </c>
    </row>
    <row r="21" spans="1:9" ht="45" customHeight="1" thickBot="1" x14ac:dyDescent="0.3">
      <c r="A21" s="22"/>
      <c r="B21" s="263" t="s">
        <v>210</v>
      </c>
      <c r="C21" s="137" t="s">
        <v>209</v>
      </c>
      <c r="D21" s="348">
        <v>0</v>
      </c>
      <c r="E21" s="348">
        <v>0</v>
      </c>
      <c r="F21" s="366"/>
      <c r="G21" s="432" t="s">
        <v>206</v>
      </c>
      <c r="H21" s="407">
        <v>0.05</v>
      </c>
      <c r="I21" s="407">
        <v>0.05</v>
      </c>
    </row>
    <row r="22" spans="1:9" ht="45" customHeight="1" thickBot="1" x14ac:dyDescent="0.3">
      <c r="A22" s="22"/>
      <c r="B22" s="263" t="s">
        <v>289</v>
      </c>
      <c r="C22" s="137" t="s">
        <v>209</v>
      </c>
      <c r="D22" s="348">
        <v>0</v>
      </c>
      <c r="E22" s="348">
        <v>0</v>
      </c>
      <c r="F22" s="366"/>
      <c r="G22" s="432" t="s">
        <v>206</v>
      </c>
      <c r="H22" s="407">
        <v>0.05</v>
      </c>
      <c r="I22" s="407">
        <v>0.05</v>
      </c>
    </row>
    <row r="23" spans="1:9" ht="45" customHeight="1" thickBot="1" x14ac:dyDescent="0.3">
      <c r="A23" s="22"/>
      <c r="B23" s="98"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4">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EOCM2UTL5aKtevuYcOD9CF1n9QWDJ32NA7HbmUS6zvLExm2P06Midy+PV528Ji59BlzdF+cjnLz33GdbKGr5nw==" saltValue="4OKlwtxRnDZZfxkE1RW4eg=="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343" priority="41" operator="lessThan">
      <formula>0%</formula>
    </cfRule>
    <cfRule type="cellIs" dxfId="342" priority="42" operator="greaterThan">
      <formula>H17</formula>
    </cfRule>
    <cfRule type="cellIs" dxfId="341" priority="43" operator="between">
      <formula>0%</formula>
      <formula>H17</formula>
    </cfRule>
  </conditionalFormatting>
  <conditionalFormatting sqref="E17">
    <cfRule type="cellIs" dxfId="340" priority="37" operator="lessThan">
      <formula>0%</formula>
    </cfRule>
    <cfRule type="cellIs" dxfId="339" priority="38" operator="greaterThan">
      <formula>I17</formula>
    </cfRule>
    <cfRule type="cellIs" dxfId="338" priority="39" operator="between">
      <formula>0%</formula>
      <formula>I17</formula>
    </cfRule>
  </conditionalFormatting>
  <conditionalFormatting sqref="E18">
    <cfRule type="cellIs" dxfId="337" priority="34" operator="lessThan">
      <formula>0%</formula>
    </cfRule>
    <cfRule type="cellIs" dxfId="336" priority="35" operator="greaterThan">
      <formula>I18</formula>
    </cfRule>
    <cfRule type="cellIs" dxfId="335" priority="36" operator="between">
      <formula>0%</formula>
      <formula>I18</formula>
    </cfRule>
  </conditionalFormatting>
  <conditionalFormatting sqref="D18">
    <cfRule type="cellIs" dxfId="334" priority="31" operator="lessThan">
      <formula>0%</formula>
    </cfRule>
    <cfRule type="cellIs" dxfId="333" priority="32" operator="greaterThan">
      <formula>H18</formula>
    </cfRule>
    <cfRule type="cellIs" dxfId="332" priority="33" operator="between">
      <formula>0%</formula>
      <formula>H18</formula>
    </cfRule>
  </conditionalFormatting>
  <conditionalFormatting sqref="D19">
    <cfRule type="cellIs" dxfId="331" priority="28" operator="lessThan">
      <formula>0%</formula>
    </cfRule>
    <cfRule type="cellIs" dxfId="330" priority="29" operator="greaterThan">
      <formula>H19</formula>
    </cfRule>
    <cfRule type="cellIs" dxfId="329" priority="30" operator="between">
      <formula>0%</formula>
      <formula>H19</formula>
    </cfRule>
  </conditionalFormatting>
  <conditionalFormatting sqref="E19">
    <cfRule type="cellIs" dxfId="328" priority="25" operator="lessThan">
      <formula>0%</formula>
    </cfRule>
    <cfRule type="cellIs" dxfId="327" priority="26" operator="greaterThan">
      <formula>I19</formula>
    </cfRule>
    <cfRule type="cellIs" dxfId="326" priority="27" operator="between">
      <formula>0%</formula>
      <formula>I19</formula>
    </cfRule>
  </conditionalFormatting>
  <conditionalFormatting sqref="E20">
    <cfRule type="cellIs" dxfId="325" priority="22" operator="lessThan">
      <formula>0%</formula>
    </cfRule>
    <cfRule type="cellIs" dxfId="324" priority="23" operator="greaterThan">
      <formula>I20</formula>
    </cfRule>
    <cfRule type="cellIs" dxfId="323" priority="24" operator="between">
      <formula>0%</formula>
      <formula>I20</formula>
    </cfRule>
  </conditionalFormatting>
  <conditionalFormatting sqref="D20">
    <cfRule type="cellIs" dxfId="322" priority="19" operator="lessThan">
      <formula>0%</formula>
    </cfRule>
    <cfRule type="cellIs" dxfId="321" priority="20" operator="greaterThan">
      <formula>H20</formula>
    </cfRule>
    <cfRule type="cellIs" dxfId="320" priority="21" operator="between">
      <formula>0%</formula>
      <formula>H20</formula>
    </cfRule>
  </conditionalFormatting>
  <conditionalFormatting sqref="D21">
    <cfRule type="cellIs" dxfId="319" priority="16" operator="lessThan">
      <formula>0%</formula>
    </cfRule>
    <cfRule type="cellIs" dxfId="318" priority="17" operator="greaterThan">
      <formula>H21</formula>
    </cfRule>
    <cfRule type="cellIs" dxfId="317" priority="18" operator="between">
      <formula>0%</formula>
      <formula>H21</formula>
    </cfRule>
  </conditionalFormatting>
  <conditionalFormatting sqref="E21">
    <cfRule type="cellIs" dxfId="316" priority="13" operator="lessThan">
      <formula>0%</formula>
    </cfRule>
    <cfRule type="cellIs" dxfId="315" priority="14" operator="greaterThan">
      <formula>I21</formula>
    </cfRule>
    <cfRule type="cellIs" dxfId="314" priority="15" operator="between">
      <formula>0%</formula>
      <formula>I21</formula>
    </cfRule>
  </conditionalFormatting>
  <conditionalFormatting sqref="E22">
    <cfRule type="cellIs" dxfId="313" priority="10" operator="lessThan">
      <formula>0%</formula>
    </cfRule>
    <cfRule type="cellIs" dxfId="312" priority="11" operator="greaterThan">
      <formula>I22</formula>
    </cfRule>
    <cfRule type="cellIs" dxfId="311" priority="12" operator="between">
      <formula>0%</formula>
      <formula>I22</formula>
    </cfRule>
  </conditionalFormatting>
  <conditionalFormatting sqref="D22">
    <cfRule type="cellIs" dxfId="310" priority="7" operator="lessThan">
      <formula>0%</formula>
    </cfRule>
    <cfRule type="cellIs" dxfId="309" priority="8" operator="greaterThan">
      <formula>H22</formula>
    </cfRule>
    <cfRule type="cellIs" dxfId="308" priority="9" operator="between">
      <formula>0%</formula>
      <formula>H22</formula>
    </cfRule>
  </conditionalFormatting>
  <conditionalFormatting sqref="D23">
    <cfRule type="cellIs" dxfId="307" priority="4" operator="lessThan">
      <formula>0%</formula>
    </cfRule>
    <cfRule type="cellIs" dxfId="306" priority="5" operator="greaterThan">
      <formula>H23</formula>
    </cfRule>
    <cfRule type="cellIs" dxfId="305" priority="6" operator="between">
      <formula>0%</formula>
      <formula>H23</formula>
    </cfRule>
  </conditionalFormatting>
  <conditionalFormatting sqref="E23">
    <cfRule type="cellIs" dxfId="304" priority="1" operator="lessThan">
      <formula>0%</formula>
    </cfRule>
    <cfRule type="cellIs" dxfId="303" priority="2" operator="greaterThan">
      <formula>I23</formula>
    </cfRule>
    <cfRule type="cellIs" dxfId="302"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6CA16757-C818-4307-B0EA-1E24539B9241}">
            <xm:f>-1 * 'STATE CODES (NUM) &amp; MIN-MAX'!$E$43</xm:f>
            <xm:f>'STATE CODES (NUM) &amp; MIN-MAX'!$E$43</xm:f>
            <x14:dxf>
              <font>
                <color theme="5" tint="-0.499984740745262"/>
              </font>
              <fill>
                <patternFill>
                  <bgColor rgb="FFFFCCCC"/>
                </patternFill>
              </fill>
            </x14:dxf>
          </x14:cfRule>
          <xm:sqref>E26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pageSetUpPr fitToPage="1"/>
  </sheetPr>
  <dimension ref="B1:O38"/>
  <sheetViews>
    <sheetView showGridLines="0" showRowColHeaders="0" zoomScale="90" zoomScaleNormal="90" workbookViewId="0">
      <selection activeCell="B11" sqref="B11:C11"/>
    </sheetView>
  </sheetViews>
  <sheetFormatPr defaultRowHeight="15" x14ac:dyDescent="0.25"/>
  <cols>
    <col min="1" max="1" width="6.42578125" customWidth="1"/>
    <col min="2" max="2" width="24.5703125" customWidth="1"/>
    <col min="3" max="3" width="26.5703125" customWidth="1"/>
    <col min="4" max="5" width="10" customWidth="1"/>
    <col min="6" max="6" width="12.7109375" customWidth="1"/>
    <col min="7" max="7" width="15" bestFit="1" customWidth="1"/>
    <col min="8" max="8" width="26.5703125" customWidth="1"/>
    <col min="9" max="10" width="0" hidden="1" customWidth="1"/>
    <col min="14" max="15" width="9.140625" style="454"/>
  </cols>
  <sheetData>
    <row r="1" spans="2:8" ht="15.75" thickBot="1" x14ac:dyDescent="0.3"/>
    <row r="2" spans="2:8" ht="15.75" x14ac:dyDescent="0.25">
      <c r="B2" s="800" t="s">
        <v>192</v>
      </c>
      <c r="C2" s="801"/>
      <c r="D2" s="801"/>
      <c r="E2" s="801"/>
      <c r="F2" s="801"/>
      <c r="G2" s="801"/>
      <c r="H2" s="802"/>
    </row>
    <row r="3" spans="2:8" ht="15.75" x14ac:dyDescent="0.25">
      <c r="B3" s="185"/>
      <c r="C3" s="175"/>
      <c r="D3" s="175"/>
      <c r="E3" s="175"/>
      <c r="F3" s="175"/>
      <c r="G3" s="175"/>
      <c r="H3" s="186"/>
    </row>
    <row r="4" spans="2:8" ht="20.25" x14ac:dyDescent="0.3">
      <c r="B4" s="803" t="s">
        <v>364</v>
      </c>
      <c r="C4" s="804"/>
      <c r="D4" s="804"/>
      <c r="E4" s="804"/>
      <c r="F4" s="804"/>
      <c r="G4" s="804"/>
      <c r="H4" s="805"/>
    </row>
    <row r="5" spans="2:8" ht="15.75" x14ac:dyDescent="0.25">
      <c r="B5" s="187"/>
      <c r="C5" s="174"/>
      <c r="D5" s="174"/>
      <c r="E5" s="174"/>
      <c r="F5" s="174"/>
      <c r="G5" s="174"/>
      <c r="H5" s="188"/>
    </row>
    <row r="6" spans="2:8" x14ac:dyDescent="0.25">
      <c r="B6" s="189" t="s">
        <v>303</v>
      </c>
      <c r="C6" s="174"/>
      <c r="D6" s="174"/>
      <c r="E6" s="174"/>
      <c r="F6" s="174"/>
      <c r="G6" s="174"/>
      <c r="H6" s="188"/>
    </row>
    <row r="7" spans="2:8" ht="16.5" thickBot="1" x14ac:dyDescent="0.3">
      <c r="B7" s="190"/>
      <c r="C7" s="174"/>
      <c r="D7" s="174"/>
      <c r="E7" s="174"/>
      <c r="F7" s="174"/>
      <c r="G7" s="174"/>
      <c r="H7" s="188"/>
    </row>
    <row r="8" spans="2:8" x14ac:dyDescent="0.25">
      <c r="B8" s="792" t="s">
        <v>228</v>
      </c>
      <c r="C8" s="806"/>
      <c r="D8" s="792" t="s">
        <v>229</v>
      </c>
      <c r="E8" s="806"/>
      <c r="F8" s="806"/>
      <c r="G8" s="806"/>
      <c r="H8" s="793"/>
    </row>
    <row r="9" spans="2:8" ht="24" customHeight="1" thickBot="1" x14ac:dyDescent="0.3">
      <c r="B9" s="807" t="str">
        <f>IF('Worksheet Prep'!D3&lt;&gt;"",'Worksheet Prep'!D3,"")</f>
        <v/>
      </c>
      <c r="C9" s="808"/>
      <c r="D9" s="809" t="str">
        <f>IF('Worksheet Prep'!G5&lt;&gt;"",'Worksheet Prep'!G5,"")</f>
        <v/>
      </c>
      <c r="E9" s="810"/>
      <c r="F9" s="810"/>
      <c r="G9" s="810"/>
      <c r="H9" s="811"/>
    </row>
    <row r="10" spans="2:8" x14ac:dyDescent="0.25">
      <c r="B10" s="792" t="s">
        <v>240</v>
      </c>
      <c r="C10" s="793"/>
      <c r="D10" s="792" t="s">
        <v>231</v>
      </c>
      <c r="E10" s="806"/>
      <c r="F10" s="806"/>
      <c r="G10" s="806" t="s">
        <v>365</v>
      </c>
      <c r="H10" s="793"/>
    </row>
    <row r="11" spans="2:8" ht="24" customHeight="1" thickBot="1" x14ac:dyDescent="0.3">
      <c r="B11" s="812"/>
      <c r="C11" s="813"/>
      <c r="D11" s="814" t="str">
        <f>IF('Worksheet Prep'!C5&lt;&gt;"",'Worksheet Prep'!C5,"")</f>
        <v/>
      </c>
      <c r="E11" s="810"/>
      <c r="F11" s="810"/>
      <c r="G11" s="176"/>
      <c r="H11" s="177"/>
    </row>
    <row r="12" spans="2:8" x14ac:dyDescent="0.25">
      <c r="B12" s="792" t="s">
        <v>230</v>
      </c>
      <c r="C12" s="793"/>
      <c r="D12" s="794" t="s">
        <v>366</v>
      </c>
      <c r="E12" s="795"/>
      <c r="F12" s="795"/>
      <c r="G12" s="795"/>
      <c r="H12" s="796"/>
    </row>
    <row r="13" spans="2:8" ht="24" customHeight="1" x14ac:dyDescent="0.25">
      <c r="B13" s="812"/>
      <c r="C13" s="813"/>
      <c r="D13" s="797"/>
      <c r="E13" s="798"/>
      <c r="F13" s="798"/>
      <c r="G13" s="798"/>
      <c r="H13" s="799"/>
    </row>
    <row r="14" spans="2:8" ht="26.25" customHeight="1" thickBot="1" x14ac:dyDescent="0.3">
      <c r="B14" s="821"/>
      <c r="C14" s="822"/>
      <c r="D14" s="818" t="s">
        <v>92</v>
      </c>
      <c r="E14" s="819"/>
      <c r="F14" s="819"/>
      <c r="G14" s="180" t="s">
        <v>367</v>
      </c>
      <c r="H14" s="384"/>
    </row>
    <row r="15" spans="2:8" x14ac:dyDescent="0.25">
      <c r="B15" s="569" t="s">
        <v>368</v>
      </c>
      <c r="C15" s="570"/>
      <c r="D15" s="549"/>
      <c r="E15" s="549"/>
      <c r="F15" s="549"/>
      <c r="G15" s="549"/>
      <c r="H15" s="548"/>
    </row>
    <row r="16" spans="2:8" ht="24" customHeight="1" thickBot="1" x14ac:dyDescent="0.3">
      <c r="B16" s="567" t="str">
        <f>'Additional Info'!F2</f>
        <v>Praetorian Insurance - 3501</v>
      </c>
      <c r="C16" s="820"/>
      <c r="D16" s="737">
        <f>VLOOKUP(B16,'STATE CODES (NUM) &amp; MIN-MAX'!B56:D58,3,FALSE)</f>
        <v>21172</v>
      </c>
      <c r="E16" s="737"/>
      <c r="F16" s="737"/>
      <c r="G16" s="737"/>
      <c r="H16" s="616"/>
    </row>
    <row r="17" spans="2:10" x14ac:dyDescent="0.25">
      <c r="B17" s="547" t="s">
        <v>369</v>
      </c>
      <c r="C17" s="548"/>
      <c r="D17" s="547" t="s">
        <v>370</v>
      </c>
      <c r="E17" s="549"/>
      <c r="F17" s="549"/>
      <c r="G17" s="549"/>
      <c r="H17" s="548"/>
    </row>
    <row r="18" spans="2:10" ht="15.75" thickBot="1" x14ac:dyDescent="0.3">
      <c r="B18" s="770" t="s">
        <v>371</v>
      </c>
      <c r="C18" s="815"/>
      <c r="D18" s="178"/>
      <c r="E18" s="221"/>
      <c r="F18" s="817">
        <v>0</v>
      </c>
      <c r="G18" s="817"/>
      <c r="H18" s="181"/>
    </row>
    <row r="19" spans="2:10" ht="51.75" thickBot="1" x14ac:dyDescent="0.3">
      <c r="B19" s="207" t="s">
        <v>198</v>
      </c>
      <c r="C19" s="179" t="s">
        <v>199</v>
      </c>
      <c r="D19" s="191" t="s">
        <v>372</v>
      </c>
      <c r="E19" s="191" t="s">
        <v>373</v>
      </c>
      <c r="F19" s="179" t="s">
        <v>374</v>
      </c>
      <c r="G19" s="207" t="s">
        <v>375</v>
      </c>
      <c r="H19" s="179" t="s">
        <v>244</v>
      </c>
    </row>
    <row r="20" spans="2:10" ht="45" customHeight="1" thickBot="1" x14ac:dyDescent="0.3">
      <c r="B20" s="228" t="s">
        <v>204</v>
      </c>
      <c r="C20" s="198" t="s">
        <v>245</v>
      </c>
      <c r="D20" s="351">
        <v>0</v>
      </c>
      <c r="E20" s="351">
        <v>0</v>
      </c>
      <c r="F20" s="346">
        <v>0</v>
      </c>
      <c r="G20" s="346">
        <v>0</v>
      </c>
      <c r="H20" s="370"/>
      <c r="I20" s="416">
        <v>0.1</v>
      </c>
      <c r="J20" s="416">
        <v>0.1</v>
      </c>
    </row>
    <row r="21" spans="2:10" ht="45" customHeight="1" thickBot="1" x14ac:dyDescent="0.3">
      <c r="B21" s="228" t="s">
        <v>207</v>
      </c>
      <c r="C21" s="199" t="s">
        <v>245</v>
      </c>
      <c r="D21" s="353">
        <v>0</v>
      </c>
      <c r="E21" s="353">
        <v>0</v>
      </c>
      <c r="F21" s="348">
        <v>0</v>
      </c>
      <c r="G21" s="348">
        <v>0</v>
      </c>
      <c r="H21" s="371"/>
      <c r="I21" s="416">
        <v>0.1</v>
      </c>
      <c r="J21" s="416">
        <v>0.1</v>
      </c>
    </row>
    <row r="22" spans="2:10" ht="45" customHeight="1" thickBot="1" x14ac:dyDescent="0.3">
      <c r="B22" s="228" t="s">
        <v>208</v>
      </c>
      <c r="C22" s="199" t="s">
        <v>246</v>
      </c>
      <c r="D22" s="353">
        <v>0</v>
      </c>
      <c r="E22" s="353">
        <v>0</v>
      </c>
      <c r="F22" s="348">
        <v>0</v>
      </c>
      <c r="G22" s="348">
        <v>0</v>
      </c>
      <c r="H22" s="371"/>
      <c r="I22" s="416">
        <v>0.05</v>
      </c>
      <c r="J22" s="416">
        <v>0.05</v>
      </c>
    </row>
    <row r="23" spans="2:10" ht="45" customHeight="1" thickBot="1" x14ac:dyDescent="0.3">
      <c r="B23" s="228" t="s">
        <v>210</v>
      </c>
      <c r="C23" s="199" t="s">
        <v>246</v>
      </c>
      <c r="D23" s="353">
        <v>0</v>
      </c>
      <c r="E23" s="353">
        <v>0</v>
      </c>
      <c r="F23" s="348">
        <v>0</v>
      </c>
      <c r="G23" s="348">
        <v>0</v>
      </c>
      <c r="H23" s="371"/>
      <c r="I23" s="416">
        <v>0.05</v>
      </c>
      <c r="J23" s="416">
        <v>0.05</v>
      </c>
    </row>
    <row r="24" spans="2:10" ht="45" customHeight="1" thickBot="1" x14ac:dyDescent="0.3">
      <c r="B24" s="228" t="s">
        <v>247</v>
      </c>
      <c r="C24" s="199" t="s">
        <v>245</v>
      </c>
      <c r="D24" s="353">
        <v>0</v>
      </c>
      <c r="E24" s="353">
        <v>0</v>
      </c>
      <c r="F24" s="348">
        <v>0</v>
      </c>
      <c r="G24" s="348">
        <v>0</v>
      </c>
      <c r="H24" s="371"/>
      <c r="I24" s="416">
        <v>0.1</v>
      </c>
      <c r="J24" s="416">
        <v>0.1</v>
      </c>
    </row>
    <row r="25" spans="2:10" ht="45" customHeight="1" thickBot="1" x14ac:dyDescent="0.3">
      <c r="B25" s="228" t="s">
        <v>248</v>
      </c>
      <c r="C25" s="199" t="s">
        <v>246</v>
      </c>
      <c r="D25" s="353">
        <v>0</v>
      </c>
      <c r="E25" s="353">
        <v>0</v>
      </c>
      <c r="F25" s="348">
        <v>0</v>
      </c>
      <c r="G25" s="348">
        <v>0</v>
      </c>
      <c r="H25" s="371"/>
      <c r="I25" s="416">
        <v>0.05</v>
      </c>
      <c r="J25" s="416">
        <v>0.05</v>
      </c>
    </row>
    <row r="26" spans="2:10" ht="45" customHeight="1" thickBot="1" x14ac:dyDescent="0.3">
      <c r="B26" s="197" t="s">
        <v>249</v>
      </c>
      <c r="C26" s="451" t="s">
        <v>246</v>
      </c>
      <c r="D26" s="355">
        <v>0</v>
      </c>
      <c r="E26" s="355">
        <v>0</v>
      </c>
      <c r="F26" s="447">
        <v>0</v>
      </c>
      <c r="G26" s="447">
        <v>0</v>
      </c>
      <c r="H26" s="372"/>
      <c r="I26" s="416">
        <v>0.05</v>
      </c>
      <c r="J26" s="416">
        <v>0.05</v>
      </c>
    </row>
    <row r="27" spans="2:10" ht="15.75" thickBot="1" x14ac:dyDescent="0.3">
      <c r="B27" s="193" t="s">
        <v>250</v>
      </c>
      <c r="C27" s="207"/>
      <c r="D27" s="194">
        <f>SUM(D20:D26)</f>
        <v>0</v>
      </c>
      <c r="E27" s="194">
        <f>SUM(E20:E26)</f>
        <v>0</v>
      </c>
      <c r="F27" s="195">
        <f>-1 * SUM(F20:F26)</f>
        <v>0</v>
      </c>
      <c r="G27" s="195">
        <f>SUM(G20:G26)</f>
        <v>0</v>
      </c>
      <c r="H27" s="196" t="s">
        <v>307</v>
      </c>
    </row>
    <row r="28" spans="2:10" x14ac:dyDescent="0.25">
      <c r="B28" s="215"/>
      <c r="C28" s="248"/>
      <c r="D28" s="211"/>
      <c r="E28" s="211"/>
      <c r="F28" s="182"/>
      <c r="G28" s="174"/>
      <c r="H28" s="174"/>
    </row>
    <row r="29" spans="2:10" ht="15.75" thickBot="1" x14ac:dyDescent="0.3">
      <c r="B29" s="222"/>
      <c r="C29" s="210" t="s">
        <v>215</v>
      </c>
      <c r="D29" s="248"/>
      <c r="E29" s="593">
        <f>SUM(F27:G27)</f>
        <v>0</v>
      </c>
      <c r="F29" s="593"/>
      <c r="G29" s="816" t="s">
        <v>443</v>
      </c>
      <c r="H29" s="641"/>
    </row>
    <row r="30" spans="2:10" x14ac:dyDescent="0.25">
      <c r="B30" s="255"/>
      <c r="C30" s="208"/>
      <c r="D30" s="210"/>
      <c r="E30" s="201"/>
      <c r="F30" s="210"/>
      <c r="G30" s="201"/>
      <c r="H30" s="201"/>
    </row>
    <row r="31" spans="2:10" x14ac:dyDescent="0.25">
      <c r="B31" s="209"/>
      <c r="C31" s="208"/>
      <c r="D31" s="210"/>
      <c r="E31" s="210"/>
      <c r="F31" s="210"/>
      <c r="G31" s="201"/>
      <c r="H31" s="201"/>
    </row>
    <row r="32" spans="2:10" ht="16.5" thickBot="1" x14ac:dyDescent="0.3">
      <c r="B32" s="204" t="s">
        <v>217</v>
      </c>
      <c r="C32" s="585" t="str">
        <f>'Worksheet Prep'!D4</f>
        <v/>
      </c>
      <c r="D32" s="585"/>
      <c r="E32" s="227" t="s">
        <v>218</v>
      </c>
      <c r="F32" s="232" t="str">
        <f>IF('Worksheet Prep'!J6&lt;&gt;"",'Worksheet Prep'!J6,"")</f>
        <v/>
      </c>
      <c r="G32" s="202"/>
      <c r="H32" s="202"/>
    </row>
    <row r="33" spans="2:8" x14ac:dyDescent="0.25">
      <c r="B33" s="208"/>
      <c r="C33" s="208"/>
      <c r="D33" s="201"/>
      <c r="E33" s="209"/>
      <c r="F33" s="201"/>
      <c r="G33" s="201"/>
      <c r="H33" s="201"/>
    </row>
    <row r="36" spans="2:8" x14ac:dyDescent="0.25">
      <c r="B36" s="173"/>
      <c r="C36" s="201"/>
    </row>
    <row r="38" spans="2:8" x14ac:dyDescent="0.25">
      <c r="B38" s="184" t="s">
        <v>376</v>
      </c>
      <c r="C38" s="183" t="s">
        <v>377</v>
      </c>
    </row>
  </sheetData>
  <sheetProtection algorithmName="SHA-512" hashValue="RTtSDqfev6zzY+/1ZUNhuSvHawDmfzaGm0DYIciiMBms+EMw8SlDk34aOW5/ZhE+uGGEQA2+Ld0eWJi7jAdqnA==" saltValue="FACg+zUldWk6e0dloyxqCw==" spinCount="100000" sheet="1" objects="1" scenarios="1" selectLockedCells="1"/>
  <mergeCells count="25">
    <mergeCell ref="G29:H29"/>
    <mergeCell ref="F18:G18"/>
    <mergeCell ref="D14:F14"/>
    <mergeCell ref="B15:H15"/>
    <mergeCell ref="B16:C16"/>
    <mergeCell ref="D16:H16"/>
    <mergeCell ref="B17:C17"/>
    <mergeCell ref="D17:H17"/>
    <mergeCell ref="B13:C14"/>
    <mergeCell ref="C32:D32"/>
    <mergeCell ref="B12:C12"/>
    <mergeCell ref="D12:H13"/>
    <mergeCell ref="B2:H2"/>
    <mergeCell ref="B4:H4"/>
    <mergeCell ref="B8:C8"/>
    <mergeCell ref="D8:H8"/>
    <mergeCell ref="B9:C9"/>
    <mergeCell ref="D9:H9"/>
    <mergeCell ref="B10:C10"/>
    <mergeCell ref="D10:F10"/>
    <mergeCell ref="G10:H10"/>
    <mergeCell ref="B11:C11"/>
    <mergeCell ref="D11:F11"/>
    <mergeCell ref="B18:C18"/>
    <mergeCell ref="E29:F29"/>
  </mergeCells>
  <conditionalFormatting sqref="F20">
    <cfRule type="cellIs" dxfId="300" priority="41" operator="lessThan">
      <formula>0%</formula>
    </cfRule>
    <cfRule type="cellIs" dxfId="299" priority="42" operator="greaterThan">
      <formula>I20</formula>
    </cfRule>
    <cfRule type="cellIs" dxfId="298" priority="43" operator="between">
      <formula>0%</formula>
      <formula>I20</formula>
    </cfRule>
  </conditionalFormatting>
  <conditionalFormatting sqref="G20">
    <cfRule type="cellIs" dxfId="297" priority="37" operator="lessThan">
      <formula>0%</formula>
    </cfRule>
    <cfRule type="cellIs" dxfId="296" priority="38" operator="greaterThan">
      <formula>J20</formula>
    </cfRule>
    <cfRule type="cellIs" dxfId="295" priority="39" operator="between">
      <formula>0%</formula>
      <formula>J20</formula>
    </cfRule>
  </conditionalFormatting>
  <conditionalFormatting sqref="G21">
    <cfRule type="cellIs" dxfId="294" priority="34" operator="lessThan">
      <formula>0%</formula>
    </cfRule>
    <cfRule type="cellIs" dxfId="293" priority="35" operator="greaterThan">
      <formula>J21</formula>
    </cfRule>
    <cfRule type="cellIs" dxfId="292" priority="36" operator="between">
      <formula>0%</formula>
      <formula>J21</formula>
    </cfRule>
  </conditionalFormatting>
  <conditionalFormatting sqref="F21">
    <cfRule type="cellIs" dxfId="291" priority="31" operator="lessThan">
      <formula>0%</formula>
    </cfRule>
    <cfRule type="cellIs" dxfId="290" priority="32" operator="greaterThan">
      <formula>I21</formula>
    </cfRule>
    <cfRule type="cellIs" dxfId="289" priority="33" operator="between">
      <formula>0%</formula>
      <formula>I21</formula>
    </cfRule>
  </conditionalFormatting>
  <conditionalFormatting sqref="F22">
    <cfRule type="cellIs" dxfId="288" priority="28" operator="lessThan">
      <formula>0%</formula>
    </cfRule>
    <cfRule type="cellIs" dxfId="287" priority="29" operator="greaterThan">
      <formula>I22</formula>
    </cfRule>
    <cfRule type="cellIs" dxfId="286" priority="30" operator="between">
      <formula>0%</formula>
      <formula>I22</formula>
    </cfRule>
  </conditionalFormatting>
  <conditionalFormatting sqref="G22">
    <cfRule type="cellIs" dxfId="285" priority="25" operator="lessThan">
      <formula>0%</formula>
    </cfRule>
    <cfRule type="cellIs" dxfId="284" priority="26" operator="greaterThan">
      <formula>J22</formula>
    </cfRule>
    <cfRule type="cellIs" dxfId="283" priority="27" operator="between">
      <formula>0%</formula>
      <formula>J22</formula>
    </cfRule>
  </conditionalFormatting>
  <conditionalFormatting sqref="G23">
    <cfRule type="cellIs" dxfId="282" priority="22" operator="lessThan">
      <formula>0%</formula>
    </cfRule>
    <cfRule type="cellIs" dxfId="281" priority="23" operator="greaterThan">
      <formula>J23</formula>
    </cfRule>
    <cfRule type="cellIs" dxfId="280" priority="24" operator="between">
      <formula>0%</formula>
      <formula>J23</formula>
    </cfRule>
  </conditionalFormatting>
  <conditionalFormatting sqref="F23">
    <cfRule type="cellIs" dxfId="279" priority="19" operator="lessThan">
      <formula>0%</formula>
    </cfRule>
    <cfRule type="cellIs" dxfId="278" priority="20" operator="greaterThan">
      <formula>I23</formula>
    </cfRule>
    <cfRule type="cellIs" dxfId="277" priority="21" operator="between">
      <formula>0%</formula>
      <formula>I23</formula>
    </cfRule>
  </conditionalFormatting>
  <conditionalFormatting sqref="F24">
    <cfRule type="cellIs" dxfId="276" priority="16" operator="lessThan">
      <formula>0%</formula>
    </cfRule>
    <cfRule type="cellIs" dxfId="275" priority="17" operator="greaterThan">
      <formula>I24</formula>
    </cfRule>
    <cfRule type="cellIs" dxfId="274" priority="18" operator="between">
      <formula>0%</formula>
      <formula>I24</formula>
    </cfRule>
  </conditionalFormatting>
  <conditionalFormatting sqref="G24">
    <cfRule type="cellIs" dxfId="273" priority="13" operator="lessThan">
      <formula>0%</formula>
    </cfRule>
    <cfRule type="cellIs" dxfId="272" priority="14" operator="greaterThan">
      <formula>J24</formula>
    </cfRule>
    <cfRule type="cellIs" dxfId="271" priority="15" operator="between">
      <formula>0%</formula>
      <formula>J24</formula>
    </cfRule>
  </conditionalFormatting>
  <conditionalFormatting sqref="G25">
    <cfRule type="cellIs" dxfId="270" priority="10" operator="lessThan">
      <formula>0%</formula>
    </cfRule>
    <cfRule type="cellIs" dxfId="269" priority="11" operator="greaterThan">
      <formula>J25</formula>
    </cfRule>
    <cfRule type="cellIs" dxfId="268" priority="12" operator="between">
      <formula>0%</formula>
      <formula>J25</formula>
    </cfRule>
  </conditionalFormatting>
  <conditionalFormatting sqref="F25">
    <cfRule type="cellIs" dxfId="267" priority="7" operator="lessThan">
      <formula>0%</formula>
    </cfRule>
    <cfRule type="cellIs" dxfId="266" priority="8" operator="greaterThan">
      <formula>I25</formula>
    </cfRule>
    <cfRule type="cellIs" dxfId="265" priority="9" operator="between">
      <formula>0%</formula>
      <formula>I25</formula>
    </cfRule>
  </conditionalFormatting>
  <conditionalFormatting sqref="F26">
    <cfRule type="cellIs" dxfId="264" priority="4" operator="lessThan">
      <formula>0%</formula>
    </cfRule>
    <cfRule type="cellIs" dxfId="263" priority="5" operator="greaterThan">
      <formula>I26</formula>
    </cfRule>
    <cfRule type="cellIs" dxfId="262" priority="6" operator="between">
      <formula>0%</formula>
      <formula>I26</formula>
    </cfRule>
  </conditionalFormatting>
  <conditionalFormatting sqref="G26">
    <cfRule type="cellIs" dxfId="261" priority="1" operator="lessThan">
      <formula>0%</formula>
    </cfRule>
    <cfRule type="cellIs" dxfId="260" priority="2" operator="greaterThan">
      <formula>J26</formula>
    </cfRule>
    <cfRule type="cellIs" dxfId="259" priority="3" operator="between">
      <formula>0%</formula>
      <formula>J26</formula>
    </cfRule>
  </conditionalFormatting>
  <dataValidations count="1">
    <dataValidation type="list" allowBlank="1" showInputMessage="1" showErrorMessage="1" sqref="D14:F14" xr:uid="{00000000-0002-0000-2500-000000000000}">
      <formula1>"-,Physical on-site inspection,Telephone survey, Electronic Survey, n/a"</formula1>
    </dataValidation>
  </dataValidations>
  <hyperlinks>
    <hyperlink ref="B44" r:id="rId1" display="patsy.mehlhaff@state.sd.us" xr:uid="{00000000-0004-0000-2500-000000000000}"/>
    <hyperlink ref="C44" r:id="rId2" display="patsy.mehlhaff@state.sd.us" xr:uid="{00000000-0004-0000-2500-000001000000}"/>
    <hyperlink ref="B38" r:id="rId3" display="patsy.mehlhaff@state.sd.us" xr:uid="{00000000-0004-0000-2500-000002000000}"/>
    <hyperlink ref="C38" r:id="rId4" xr:uid="{00000000-0004-0000-2500-000003000000}"/>
  </hyperlinks>
  <pageMargins left="0.7" right="0.7" top="0.75" bottom="0.75" header="0.3" footer="0.3"/>
  <pageSetup scale="72" fitToHeight="0" orientation="portrait" r:id="rId5"/>
  <ignoredErrors>
    <ignoredError sqref="F27" formula="1"/>
    <ignoredError sqref="D16" evalError="1"/>
  </ignoredErrors>
  <drawing r:id="rId6"/>
  <legacyDrawing r:id="rId7"/>
  <mc:AlternateContent xmlns:mc="http://schemas.openxmlformats.org/markup-compatibility/2006">
    <mc:Choice Requires="x14">
      <controls>
        <mc:AlternateContent xmlns:mc="http://schemas.openxmlformats.org/markup-compatibility/2006">
          <mc:Choice Requires="x14">
            <control shapeId="41988" r:id="rId8" name="Check Box 4">
              <controlPr defaultSize="0" autoFill="0" autoLine="0" autoPict="0">
                <anchor moveWithCells="1">
                  <from>
                    <xdr:col>6</xdr:col>
                    <xdr:colOff>695325</xdr:colOff>
                    <xdr:row>10</xdr:row>
                    <xdr:rowOff>9525</xdr:rowOff>
                  </from>
                  <to>
                    <xdr:col>7</xdr:col>
                    <xdr:colOff>495300</xdr:colOff>
                    <xdr:row>10</xdr:row>
                    <xdr:rowOff>219075</xdr:rowOff>
                  </to>
                </anchor>
              </controlPr>
            </control>
          </mc:Choice>
        </mc:AlternateContent>
        <mc:AlternateContent xmlns:mc="http://schemas.openxmlformats.org/markup-compatibility/2006">
          <mc:Choice Requires="x14">
            <control shapeId="41989" r:id="rId9" name="Check Box 5">
              <controlPr defaultSize="0" autoFill="0" autoLine="0" autoPict="0">
                <anchor moveWithCells="1">
                  <from>
                    <xdr:col>7</xdr:col>
                    <xdr:colOff>314325</xdr:colOff>
                    <xdr:row>10</xdr:row>
                    <xdr:rowOff>9525</xdr:rowOff>
                  </from>
                  <to>
                    <xdr:col>7</xdr:col>
                    <xdr:colOff>1114425</xdr:colOff>
                    <xdr:row>10</xdr:row>
                    <xdr:rowOff>219075</xdr:rowOff>
                  </to>
                </anchor>
              </controlPr>
            </control>
          </mc:Choice>
        </mc:AlternateContent>
        <mc:AlternateContent xmlns:mc="http://schemas.openxmlformats.org/markup-compatibility/2006">
          <mc:Choice Requires="x14">
            <control shapeId="41990" r:id="rId10" name="Check Box 6">
              <controlPr defaultSize="0" autoFill="0" autoLine="0" autoPict="0">
                <anchor moveWithCells="1">
                  <from>
                    <xdr:col>3</xdr:col>
                    <xdr:colOff>123825</xdr:colOff>
                    <xdr:row>16</xdr:row>
                    <xdr:rowOff>171450</xdr:rowOff>
                  </from>
                  <to>
                    <xdr:col>4</xdr:col>
                    <xdr:colOff>247650</xdr:colOff>
                    <xdr:row>17</xdr:row>
                    <xdr:rowOff>190500</xdr:rowOff>
                  </to>
                </anchor>
              </controlPr>
            </control>
          </mc:Choice>
        </mc:AlternateContent>
        <mc:AlternateContent xmlns:mc="http://schemas.openxmlformats.org/markup-compatibility/2006">
          <mc:Choice Requires="x14">
            <control shapeId="41991" r:id="rId11" name="Check Box 7">
              <controlPr defaultSize="0" autoFill="0" autoLine="0" autoPict="0">
                <anchor moveWithCells="1">
                  <from>
                    <xdr:col>4</xdr:col>
                    <xdr:colOff>85725</xdr:colOff>
                    <xdr:row>16</xdr:row>
                    <xdr:rowOff>171450</xdr:rowOff>
                  </from>
                  <to>
                    <xdr:col>5</xdr:col>
                    <xdr:colOff>200025</xdr:colOff>
                    <xdr:row>17</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0" operator="notBetween" id="{CDADFF81-4A51-4788-BDF1-7D778C56F56B}">
            <xm:f>-1 * 'STATE CODES (NUM) &amp; MIN-MAX'!$E$44</xm:f>
            <xm:f>'STATE CODES (NUM) &amp; MIN-MAX'!$E$44</xm:f>
            <x14:dxf>
              <font>
                <color theme="5" tint="-0.499984740745262"/>
              </font>
              <fill>
                <patternFill>
                  <bgColor rgb="FFFFCCCC"/>
                </patternFill>
              </fill>
            </x14:dxf>
          </x14:cfRule>
          <xm:sqref>E29</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134</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TENNESSEE</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98" t="s">
        <v>204</v>
      </c>
      <c r="C17" s="135" t="s">
        <v>205</v>
      </c>
      <c r="D17" s="346">
        <v>0</v>
      </c>
      <c r="E17" s="346">
        <v>0</v>
      </c>
      <c r="F17" s="364"/>
      <c r="G17" s="431" t="s">
        <v>206</v>
      </c>
      <c r="H17" s="407">
        <v>0.1</v>
      </c>
      <c r="I17" s="407">
        <v>0.1</v>
      </c>
    </row>
    <row r="18" spans="1:9" ht="45" customHeight="1" thickBot="1" x14ac:dyDescent="0.3">
      <c r="A18" s="22"/>
      <c r="B18" s="263" t="s">
        <v>207</v>
      </c>
      <c r="C18" s="136" t="s">
        <v>205</v>
      </c>
      <c r="D18" s="348">
        <v>0</v>
      </c>
      <c r="E18" s="348">
        <v>0</v>
      </c>
      <c r="F18" s="366"/>
      <c r="G18" s="432" t="s">
        <v>206</v>
      </c>
      <c r="H18" s="407">
        <v>0.1</v>
      </c>
      <c r="I18" s="407">
        <v>0.1</v>
      </c>
    </row>
    <row r="19" spans="1:9" ht="45" customHeight="1" thickBot="1" x14ac:dyDescent="0.3">
      <c r="A19" s="22"/>
      <c r="B19" s="263" t="s">
        <v>208</v>
      </c>
      <c r="C19" s="137" t="s">
        <v>209</v>
      </c>
      <c r="D19" s="348">
        <v>0</v>
      </c>
      <c r="E19" s="348">
        <v>0</v>
      </c>
      <c r="F19" s="366"/>
      <c r="G19" s="432" t="s">
        <v>206</v>
      </c>
      <c r="H19" s="407">
        <v>0.05</v>
      </c>
      <c r="I19" s="407">
        <v>0.05</v>
      </c>
    </row>
    <row r="20" spans="1:9" ht="45" customHeight="1" thickBot="1" x14ac:dyDescent="0.3">
      <c r="A20" s="22"/>
      <c r="B20" s="263" t="s">
        <v>288</v>
      </c>
      <c r="C20" s="137" t="s">
        <v>205</v>
      </c>
      <c r="D20" s="348">
        <v>0</v>
      </c>
      <c r="E20" s="348">
        <v>0</v>
      </c>
      <c r="F20" s="366"/>
      <c r="G20" s="432" t="s">
        <v>206</v>
      </c>
      <c r="H20" s="407">
        <v>0.1</v>
      </c>
      <c r="I20" s="407">
        <v>0.1</v>
      </c>
    </row>
    <row r="21" spans="1:9" ht="45" customHeight="1" thickBot="1" x14ac:dyDescent="0.3">
      <c r="A21" s="22"/>
      <c r="B21" s="263" t="s">
        <v>210</v>
      </c>
      <c r="C21" s="137" t="s">
        <v>209</v>
      </c>
      <c r="D21" s="348">
        <v>0</v>
      </c>
      <c r="E21" s="348">
        <v>0</v>
      </c>
      <c r="F21" s="366"/>
      <c r="G21" s="432" t="s">
        <v>206</v>
      </c>
      <c r="H21" s="407">
        <v>0.05</v>
      </c>
      <c r="I21" s="407">
        <v>0.05</v>
      </c>
    </row>
    <row r="22" spans="1:9" ht="45" customHeight="1" thickBot="1" x14ac:dyDescent="0.3">
      <c r="A22" s="22"/>
      <c r="B22" s="263" t="s">
        <v>289</v>
      </c>
      <c r="C22" s="137" t="s">
        <v>209</v>
      </c>
      <c r="D22" s="348">
        <v>0</v>
      </c>
      <c r="E22" s="348">
        <v>0</v>
      </c>
      <c r="F22" s="366"/>
      <c r="G22" s="432" t="s">
        <v>206</v>
      </c>
      <c r="H22" s="407">
        <v>0.05</v>
      </c>
      <c r="I22" s="407">
        <v>0.05</v>
      </c>
    </row>
    <row r="23" spans="1:9" ht="45" customHeight="1" thickBot="1" x14ac:dyDescent="0.3">
      <c r="A23" s="22"/>
      <c r="B23" s="98"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8">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jYbljwix0rMYhaOWg8wH5mmzeEsuB+mMepx4WmncArw9JxSOZ6/AW+FL2mF3H3nMUxVKQRNFml6JtklQJebqqQ==" saltValue="GkSSqMCRYG397KejR+fGzg=="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257" priority="41" operator="lessThan">
      <formula>0%</formula>
    </cfRule>
    <cfRule type="cellIs" dxfId="256" priority="42" operator="greaterThan">
      <formula>H17</formula>
    </cfRule>
    <cfRule type="cellIs" dxfId="255" priority="43" operator="between">
      <formula>0%</formula>
      <formula>H17</formula>
    </cfRule>
  </conditionalFormatting>
  <conditionalFormatting sqref="E17">
    <cfRule type="cellIs" dxfId="254" priority="37" operator="lessThan">
      <formula>0%</formula>
    </cfRule>
    <cfRule type="cellIs" dxfId="253" priority="38" operator="greaterThan">
      <formula>I17</formula>
    </cfRule>
    <cfRule type="cellIs" dxfId="252" priority="39" operator="between">
      <formula>0%</formula>
      <formula>I17</formula>
    </cfRule>
  </conditionalFormatting>
  <conditionalFormatting sqref="E18">
    <cfRule type="cellIs" dxfId="251" priority="34" operator="lessThan">
      <formula>0%</formula>
    </cfRule>
    <cfRule type="cellIs" dxfId="250" priority="35" operator="greaterThan">
      <formula>I18</formula>
    </cfRule>
    <cfRule type="cellIs" dxfId="249" priority="36" operator="between">
      <formula>0%</formula>
      <formula>I18</formula>
    </cfRule>
  </conditionalFormatting>
  <conditionalFormatting sqref="D18">
    <cfRule type="cellIs" dxfId="248" priority="31" operator="lessThan">
      <formula>0%</formula>
    </cfRule>
    <cfRule type="cellIs" dxfId="247" priority="32" operator="greaterThan">
      <formula>H18</formula>
    </cfRule>
    <cfRule type="cellIs" dxfId="246" priority="33" operator="between">
      <formula>0%</formula>
      <formula>H18</formula>
    </cfRule>
  </conditionalFormatting>
  <conditionalFormatting sqref="D19">
    <cfRule type="cellIs" dxfId="245" priority="28" operator="lessThan">
      <formula>0%</formula>
    </cfRule>
    <cfRule type="cellIs" dxfId="244" priority="29" operator="greaterThan">
      <formula>H19</formula>
    </cfRule>
    <cfRule type="cellIs" dxfId="243" priority="30" operator="between">
      <formula>0%</formula>
      <formula>H19</formula>
    </cfRule>
  </conditionalFormatting>
  <conditionalFormatting sqref="E19">
    <cfRule type="cellIs" dxfId="242" priority="25" operator="lessThan">
      <formula>0%</formula>
    </cfRule>
    <cfRule type="cellIs" dxfId="241" priority="26" operator="greaterThan">
      <formula>I19</formula>
    </cfRule>
    <cfRule type="cellIs" dxfId="240" priority="27" operator="between">
      <formula>0%</formula>
      <formula>I19</formula>
    </cfRule>
  </conditionalFormatting>
  <conditionalFormatting sqref="E20">
    <cfRule type="cellIs" dxfId="239" priority="22" operator="lessThan">
      <formula>0%</formula>
    </cfRule>
    <cfRule type="cellIs" dxfId="238" priority="23" operator="greaterThan">
      <formula>I20</formula>
    </cfRule>
    <cfRule type="cellIs" dxfId="237" priority="24" operator="between">
      <formula>0%</formula>
      <formula>I20</formula>
    </cfRule>
  </conditionalFormatting>
  <conditionalFormatting sqref="D20">
    <cfRule type="cellIs" dxfId="236" priority="19" operator="lessThan">
      <formula>0%</formula>
    </cfRule>
    <cfRule type="cellIs" dxfId="235" priority="20" operator="greaterThan">
      <formula>H20</formula>
    </cfRule>
    <cfRule type="cellIs" dxfId="234" priority="21" operator="between">
      <formula>0%</formula>
      <formula>H20</formula>
    </cfRule>
  </conditionalFormatting>
  <conditionalFormatting sqref="D21">
    <cfRule type="cellIs" dxfId="233" priority="16" operator="lessThan">
      <formula>0%</formula>
    </cfRule>
    <cfRule type="cellIs" dxfId="232" priority="17" operator="greaterThan">
      <formula>H21</formula>
    </cfRule>
    <cfRule type="cellIs" dxfId="231" priority="18" operator="between">
      <formula>0%</formula>
      <formula>H21</formula>
    </cfRule>
  </conditionalFormatting>
  <conditionalFormatting sqref="E21">
    <cfRule type="cellIs" dxfId="230" priority="13" operator="lessThan">
      <formula>0%</formula>
    </cfRule>
    <cfRule type="cellIs" dxfId="229" priority="14" operator="greaterThan">
      <formula>I21</formula>
    </cfRule>
    <cfRule type="cellIs" dxfId="228" priority="15" operator="between">
      <formula>0%</formula>
      <formula>I21</formula>
    </cfRule>
  </conditionalFormatting>
  <conditionalFormatting sqref="E22">
    <cfRule type="cellIs" dxfId="227" priority="10" operator="lessThan">
      <formula>0%</formula>
    </cfRule>
    <cfRule type="cellIs" dxfId="226" priority="11" operator="greaterThan">
      <formula>I22</formula>
    </cfRule>
    <cfRule type="cellIs" dxfId="225" priority="12" operator="between">
      <formula>0%</formula>
      <formula>I22</formula>
    </cfRule>
  </conditionalFormatting>
  <conditionalFormatting sqref="D22">
    <cfRule type="cellIs" dxfId="224" priority="7" operator="lessThan">
      <formula>0%</formula>
    </cfRule>
    <cfRule type="cellIs" dxfId="223" priority="8" operator="greaterThan">
      <formula>H22</formula>
    </cfRule>
    <cfRule type="cellIs" dxfId="222" priority="9" operator="between">
      <formula>0%</formula>
      <formula>H22</formula>
    </cfRule>
  </conditionalFormatting>
  <conditionalFormatting sqref="D23">
    <cfRule type="cellIs" dxfId="221" priority="4" operator="lessThan">
      <formula>0%</formula>
    </cfRule>
    <cfRule type="cellIs" dxfId="220" priority="5" operator="greaterThan">
      <formula>H23</formula>
    </cfRule>
    <cfRule type="cellIs" dxfId="219" priority="6" operator="between">
      <formula>0%</formula>
      <formula>H23</formula>
    </cfRule>
  </conditionalFormatting>
  <conditionalFormatting sqref="E23">
    <cfRule type="cellIs" dxfId="218" priority="1" operator="lessThan">
      <formula>0%</formula>
    </cfRule>
    <cfRule type="cellIs" dxfId="217" priority="2" operator="greaterThan">
      <formula>I23</formula>
    </cfRule>
    <cfRule type="cellIs" dxfId="216"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978E7129-4AE0-4E7E-A8BD-A962E1D89EA3}">
            <xm:f>-1 * 'STATE CODES (NUM) &amp; MIN-MAX'!$E$45</xm:f>
            <xm:f>'STATE CODES (NUM) &amp; MIN-MAX'!$E$45</xm:f>
            <x14:dxf>
              <font>
                <color theme="5" tint="-0.499984740745262"/>
              </font>
              <fill>
                <patternFill>
                  <bgColor rgb="FFFFCCCC"/>
                </patternFill>
              </fill>
            </x14:dxf>
          </x14:cfRule>
          <xm:sqref>E26</xm:sqref>
        </x14:conditionalFormatting>
      </x14:conditionalFormatting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pageSetUpPr fitToPage="1"/>
  </sheetPr>
  <dimension ref="A1:I31"/>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135</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TEXAS</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378</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8" t="s">
        <v>204</v>
      </c>
      <c r="C17" s="285" t="s">
        <v>205</v>
      </c>
      <c r="D17" s="346">
        <v>0</v>
      </c>
      <c r="E17" s="346">
        <v>0</v>
      </c>
      <c r="F17" s="364"/>
      <c r="G17" s="431" t="s">
        <v>206</v>
      </c>
      <c r="H17" s="416">
        <v>0.1</v>
      </c>
      <c r="I17" s="416">
        <v>0.1</v>
      </c>
    </row>
    <row r="18" spans="1:9" ht="45" customHeight="1" thickBot="1" x14ac:dyDescent="0.3">
      <c r="A18" s="22"/>
      <c r="B18" s="268" t="s">
        <v>207</v>
      </c>
      <c r="C18" s="140" t="s">
        <v>205</v>
      </c>
      <c r="D18" s="348">
        <v>0</v>
      </c>
      <c r="E18" s="348">
        <v>0</v>
      </c>
      <c r="F18" s="366"/>
      <c r="G18" s="432" t="s">
        <v>206</v>
      </c>
      <c r="H18" s="416">
        <v>0.1</v>
      </c>
      <c r="I18" s="416">
        <v>0.1</v>
      </c>
    </row>
    <row r="19" spans="1:9" ht="45" customHeight="1" thickBot="1" x14ac:dyDescent="0.3">
      <c r="A19" s="22"/>
      <c r="B19" s="268" t="s">
        <v>208</v>
      </c>
      <c r="C19" s="140" t="s">
        <v>205</v>
      </c>
      <c r="D19" s="348">
        <v>0</v>
      </c>
      <c r="E19" s="348">
        <v>0</v>
      </c>
      <c r="F19" s="366"/>
      <c r="G19" s="432" t="s">
        <v>206</v>
      </c>
      <c r="H19" s="416">
        <v>0.1</v>
      </c>
      <c r="I19" s="416">
        <v>0.1</v>
      </c>
    </row>
    <row r="20" spans="1:9" ht="45" customHeight="1" thickBot="1" x14ac:dyDescent="0.3">
      <c r="A20" s="22"/>
      <c r="B20" s="268" t="s">
        <v>288</v>
      </c>
      <c r="C20" s="140" t="s">
        <v>205</v>
      </c>
      <c r="D20" s="348">
        <v>0</v>
      </c>
      <c r="E20" s="348">
        <v>0</v>
      </c>
      <c r="F20" s="366"/>
      <c r="G20" s="432" t="s">
        <v>206</v>
      </c>
      <c r="H20" s="416">
        <v>0.1</v>
      </c>
      <c r="I20" s="416">
        <v>0.1</v>
      </c>
    </row>
    <row r="21" spans="1:9" ht="45" customHeight="1" thickBot="1" x14ac:dyDescent="0.3">
      <c r="A21" s="22"/>
      <c r="B21" s="342" t="s">
        <v>210</v>
      </c>
      <c r="C21" s="140" t="s">
        <v>205</v>
      </c>
      <c r="D21" s="348">
        <v>0</v>
      </c>
      <c r="E21" s="348">
        <v>0</v>
      </c>
      <c r="F21" s="366"/>
      <c r="G21" s="432" t="s">
        <v>206</v>
      </c>
      <c r="H21" s="416">
        <v>0.1</v>
      </c>
      <c r="I21" s="416">
        <v>0.1</v>
      </c>
    </row>
    <row r="22" spans="1:9" ht="45" customHeight="1" thickBot="1" x14ac:dyDescent="0.3">
      <c r="A22" s="22"/>
      <c r="B22" s="342" t="s">
        <v>289</v>
      </c>
      <c r="C22" s="140" t="s">
        <v>205</v>
      </c>
      <c r="D22" s="348">
        <v>0</v>
      </c>
      <c r="E22" s="348">
        <v>0</v>
      </c>
      <c r="F22" s="366"/>
      <c r="G22" s="432" t="s">
        <v>206</v>
      </c>
      <c r="H22" s="416">
        <v>0.1</v>
      </c>
      <c r="I22" s="416">
        <v>0.1</v>
      </c>
    </row>
    <row r="23" spans="1:9" ht="45" customHeight="1" thickBot="1" x14ac:dyDescent="0.3">
      <c r="A23" s="22"/>
      <c r="B23" s="343" t="s">
        <v>213</v>
      </c>
      <c r="C23" s="140" t="s">
        <v>205</v>
      </c>
      <c r="D23" s="348">
        <v>0</v>
      </c>
      <c r="E23" s="348">
        <v>0</v>
      </c>
      <c r="F23" s="366"/>
      <c r="G23" s="432" t="s">
        <v>206</v>
      </c>
      <c r="H23" s="416">
        <v>0.1</v>
      </c>
      <c r="I23" s="416">
        <v>0.1</v>
      </c>
    </row>
    <row r="24" spans="1:9" ht="45" customHeight="1" thickBot="1" x14ac:dyDescent="0.3">
      <c r="A24" s="22"/>
      <c r="B24" s="342" t="s">
        <v>291</v>
      </c>
      <c r="C24" s="286" t="s">
        <v>424</v>
      </c>
      <c r="D24" s="447">
        <v>0</v>
      </c>
      <c r="E24" s="447">
        <v>0</v>
      </c>
      <c r="F24" s="369"/>
      <c r="G24" s="433" t="s">
        <v>206</v>
      </c>
      <c r="H24" s="416">
        <v>0.25</v>
      </c>
      <c r="I24" s="416">
        <v>0.25</v>
      </c>
    </row>
    <row r="25" spans="1:9" ht="16.5" thickBot="1" x14ac:dyDescent="0.3">
      <c r="A25" s="22"/>
      <c r="B25" s="92" t="s">
        <v>214</v>
      </c>
      <c r="C25" s="92"/>
      <c r="D25" s="282">
        <f>-1 * SUM(D17:D24)</f>
        <v>0</v>
      </c>
      <c r="E25" s="282">
        <f>SUM(E17:E24)</f>
        <v>0</v>
      </c>
      <c r="F25" s="93"/>
      <c r="G25" s="93"/>
      <c r="H25" s="22"/>
    </row>
    <row r="26" spans="1:9" ht="15.75" x14ac:dyDescent="0.25">
      <c r="A26" s="22"/>
      <c r="B26" s="92"/>
      <c r="C26" s="92"/>
      <c r="D26" s="93"/>
      <c r="E26" s="93"/>
      <c r="F26" s="93"/>
      <c r="G26" s="93"/>
      <c r="H26" s="22"/>
    </row>
    <row r="27" spans="1:9" ht="16.5" thickBot="1" x14ac:dyDescent="0.3">
      <c r="A27" s="22"/>
      <c r="B27" s="92"/>
      <c r="C27" s="251"/>
      <c r="D27" s="251" t="s">
        <v>287</v>
      </c>
      <c r="E27" s="448">
        <f>SUM(D25:E25)</f>
        <v>0</v>
      </c>
      <c r="F27" s="659" t="s">
        <v>443</v>
      </c>
      <c r="G27" s="660"/>
      <c r="H27" s="22"/>
    </row>
    <row r="28" spans="1:9" ht="15.75" x14ac:dyDescent="0.25">
      <c r="A28" s="22"/>
      <c r="B28" s="92"/>
      <c r="C28" s="92"/>
      <c r="D28" s="100"/>
      <c r="E28" s="93"/>
      <c r="F28" s="93"/>
      <c r="G28" s="93"/>
      <c r="H28" s="22"/>
    </row>
    <row r="29" spans="1:9" ht="16.5" thickBot="1" x14ac:dyDescent="0.3">
      <c r="A29" s="22"/>
      <c r="B29" s="99" t="s">
        <v>217</v>
      </c>
      <c r="C29" s="496" t="str">
        <f>'Worksheet Prep'!D4</f>
        <v/>
      </c>
      <c r="D29" s="496"/>
      <c r="E29" s="99" t="s">
        <v>218</v>
      </c>
      <c r="F29" s="117" t="str">
        <f>IF('Worksheet Prep'!J6&lt;&gt;"",'Worksheet Prep'!J6,"")</f>
        <v/>
      </c>
      <c r="G29" s="22"/>
      <c r="H29" s="22"/>
    </row>
    <row r="30" spans="1:9" x14ac:dyDescent="0.25">
      <c r="A30" s="22"/>
      <c r="B30" s="22"/>
      <c r="C30" s="22"/>
      <c r="D30" s="22"/>
      <c r="E30" s="22"/>
      <c r="F30" s="22"/>
      <c r="G30" s="22"/>
      <c r="H30" s="22"/>
    </row>
    <row r="31" spans="1:9" x14ac:dyDescent="0.25">
      <c r="A31" s="22"/>
      <c r="B31" s="22"/>
      <c r="C31" s="22"/>
      <c r="D31" s="22"/>
      <c r="E31" s="22"/>
      <c r="F31" s="22"/>
      <c r="G31" s="22"/>
      <c r="H31" s="22"/>
    </row>
  </sheetData>
  <sheetProtection algorithmName="SHA-512" hashValue="IVNs29p/bPqtP/Aky21MB/yq9oSkbxOmDpQdKJv/XrZBAkoT3ZngrLpk7ic2ZlrnJUMCGrFqHhLFWeSfjtY4CQ==" saltValue="eZ5EdbPOQRqVVOXJoGvVPw==" spinCount="100000" sheet="1" objects="1" scenarios="1" selectLockedCells="1"/>
  <mergeCells count="14">
    <mergeCell ref="F27:G27"/>
    <mergeCell ref="C29:D29"/>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214" priority="46" operator="lessThan">
      <formula>0%</formula>
    </cfRule>
    <cfRule type="cellIs" dxfId="213" priority="47" operator="greaterThan">
      <formula>H17</formula>
    </cfRule>
    <cfRule type="cellIs" dxfId="212" priority="48" operator="between">
      <formula>0%</formula>
      <formula>H17</formula>
    </cfRule>
  </conditionalFormatting>
  <conditionalFormatting sqref="E17">
    <cfRule type="cellIs" dxfId="211" priority="43" operator="lessThan">
      <formula>0%</formula>
    </cfRule>
    <cfRule type="cellIs" dxfId="210" priority="44" operator="greaterThan">
      <formula>I17</formula>
    </cfRule>
    <cfRule type="cellIs" dxfId="209" priority="45" operator="between">
      <formula>0%</formula>
      <formula>I17</formula>
    </cfRule>
  </conditionalFormatting>
  <conditionalFormatting sqref="E18">
    <cfRule type="cellIs" dxfId="208" priority="40" operator="lessThan">
      <formula>0%</formula>
    </cfRule>
    <cfRule type="cellIs" dxfId="207" priority="41" operator="greaterThan">
      <formula>I18</formula>
    </cfRule>
    <cfRule type="cellIs" dxfId="206" priority="42" operator="between">
      <formula>0%</formula>
      <formula>I18</formula>
    </cfRule>
  </conditionalFormatting>
  <conditionalFormatting sqref="D18">
    <cfRule type="cellIs" dxfId="205" priority="37" operator="lessThan">
      <formula>0%</formula>
    </cfRule>
    <cfRule type="cellIs" dxfId="204" priority="38" operator="greaterThan">
      <formula>H18</formula>
    </cfRule>
    <cfRule type="cellIs" dxfId="203" priority="39" operator="between">
      <formula>0%</formula>
      <formula>H18</formula>
    </cfRule>
  </conditionalFormatting>
  <conditionalFormatting sqref="D19">
    <cfRule type="cellIs" dxfId="202" priority="34" operator="lessThan">
      <formula>0%</formula>
    </cfRule>
    <cfRule type="cellIs" dxfId="201" priority="35" operator="greaterThan">
      <formula>H19</formula>
    </cfRule>
    <cfRule type="cellIs" dxfId="200" priority="36" operator="between">
      <formula>0%</formula>
      <formula>H19</formula>
    </cfRule>
  </conditionalFormatting>
  <conditionalFormatting sqref="E19">
    <cfRule type="cellIs" dxfId="199" priority="31" operator="lessThan">
      <formula>0%</formula>
    </cfRule>
    <cfRule type="cellIs" dxfId="198" priority="32" operator="greaterThan">
      <formula>I19</formula>
    </cfRule>
    <cfRule type="cellIs" dxfId="197" priority="33" operator="between">
      <formula>0%</formula>
      <formula>I19</formula>
    </cfRule>
  </conditionalFormatting>
  <conditionalFormatting sqref="E20">
    <cfRule type="cellIs" dxfId="196" priority="28" operator="lessThan">
      <formula>0%</formula>
    </cfRule>
    <cfRule type="cellIs" dxfId="195" priority="29" operator="greaterThan">
      <formula>I20</formula>
    </cfRule>
    <cfRule type="cellIs" dxfId="194" priority="30" operator="between">
      <formula>0%</formula>
      <formula>I20</formula>
    </cfRule>
  </conditionalFormatting>
  <conditionalFormatting sqref="D20">
    <cfRule type="cellIs" dxfId="193" priority="25" operator="lessThan">
      <formula>0%</formula>
    </cfRule>
    <cfRule type="cellIs" dxfId="192" priority="26" operator="greaterThan">
      <formula>H20</formula>
    </cfRule>
    <cfRule type="cellIs" dxfId="191" priority="27" operator="between">
      <formula>0%</formula>
      <formula>H20</formula>
    </cfRule>
  </conditionalFormatting>
  <conditionalFormatting sqref="D21">
    <cfRule type="cellIs" dxfId="190" priority="22" operator="lessThan">
      <formula>0%</formula>
    </cfRule>
    <cfRule type="cellIs" dxfId="189" priority="23" operator="greaterThan">
      <formula>H21</formula>
    </cfRule>
    <cfRule type="cellIs" dxfId="188" priority="24" operator="between">
      <formula>0%</formula>
      <formula>H21</formula>
    </cfRule>
  </conditionalFormatting>
  <conditionalFormatting sqref="E21">
    <cfRule type="cellIs" dxfId="187" priority="19" operator="lessThan">
      <formula>0%</formula>
    </cfRule>
    <cfRule type="cellIs" dxfId="186" priority="20" operator="greaterThan">
      <formula>I21</formula>
    </cfRule>
    <cfRule type="cellIs" dxfId="185" priority="21" operator="between">
      <formula>0%</formula>
      <formula>I21</formula>
    </cfRule>
  </conditionalFormatting>
  <conditionalFormatting sqref="E22">
    <cfRule type="cellIs" dxfId="184" priority="16" operator="lessThan">
      <formula>0%</formula>
    </cfRule>
    <cfRule type="cellIs" dxfId="183" priority="17" operator="greaterThan">
      <formula>I22</formula>
    </cfRule>
    <cfRule type="cellIs" dxfId="182" priority="18" operator="between">
      <formula>0%</formula>
      <formula>I22</formula>
    </cfRule>
  </conditionalFormatting>
  <conditionalFormatting sqref="D22">
    <cfRule type="cellIs" dxfId="181" priority="13" operator="lessThan">
      <formula>0%</formula>
    </cfRule>
    <cfRule type="cellIs" dxfId="180" priority="14" operator="greaterThan">
      <formula>H22</formula>
    </cfRule>
    <cfRule type="cellIs" dxfId="179" priority="15" operator="between">
      <formula>0%</formula>
      <formula>H22</formula>
    </cfRule>
  </conditionalFormatting>
  <conditionalFormatting sqref="D23">
    <cfRule type="cellIs" dxfId="178" priority="10" operator="lessThan">
      <formula>0%</formula>
    </cfRule>
    <cfRule type="cellIs" dxfId="177" priority="11" operator="greaterThan">
      <formula>H23</formula>
    </cfRule>
    <cfRule type="cellIs" dxfId="176" priority="12" operator="between">
      <formula>0%</formula>
      <formula>H23</formula>
    </cfRule>
  </conditionalFormatting>
  <conditionalFormatting sqref="E23">
    <cfRule type="cellIs" dxfId="175" priority="7" operator="lessThan">
      <formula>0%</formula>
    </cfRule>
    <cfRule type="cellIs" dxfId="174" priority="8" operator="greaterThan">
      <formula>I23</formula>
    </cfRule>
    <cfRule type="cellIs" dxfId="173" priority="9" operator="between">
      <formula>0%</formula>
      <formula>I23</formula>
    </cfRule>
  </conditionalFormatting>
  <conditionalFormatting sqref="E24">
    <cfRule type="cellIs" dxfId="172" priority="4" operator="lessThan">
      <formula>0%</formula>
    </cfRule>
    <cfRule type="cellIs" dxfId="171" priority="5" operator="greaterThan">
      <formula>I24</formula>
    </cfRule>
    <cfRule type="cellIs" dxfId="170" priority="6" operator="between">
      <formula>0%</formula>
      <formula>I24</formula>
    </cfRule>
  </conditionalFormatting>
  <conditionalFormatting sqref="D24">
    <cfRule type="cellIs" dxfId="169" priority="1" operator="lessThan">
      <formula>0%</formula>
    </cfRule>
    <cfRule type="cellIs" dxfId="168" priority="2" operator="greaterThan">
      <formula>H24</formula>
    </cfRule>
    <cfRule type="cellIs" dxfId="167" priority="3" operator="between">
      <formula>0%</formula>
      <formula>H24</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9" operator="notBetween" id="{9A028C76-D283-48A5-8046-11FFDEDA40B2}">
            <xm:f>-1 * 'STATE CODES (NUM) &amp; MIN-MAX'!$E$46</xm:f>
            <xm:f>'STATE CODES (NUM) &amp; MIN-MAX'!$E$46</xm:f>
            <x14:dxf>
              <font>
                <color theme="5" tint="-0.499984740745262"/>
              </font>
              <fill>
                <patternFill>
                  <bgColor rgb="FFFFCCCC"/>
                </patternFill>
              </fill>
            </x14:dxf>
          </x14:cfRule>
          <xm:sqref>E27</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0">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136</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UTAH</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4" t="s">
        <v>204</v>
      </c>
      <c r="C17" s="285" t="s">
        <v>205</v>
      </c>
      <c r="D17" s="346">
        <v>0</v>
      </c>
      <c r="E17" s="346">
        <v>0</v>
      </c>
      <c r="F17" s="364"/>
      <c r="G17" s="431" t="s">
        <v>206</v>
      </c>
      <c r="H17" s="407">
        <v>0.1</v>
      </c>
      <c r="I17" s="407">
        <v>0.1</v>
      </c>
    </row>
    <row r="18" spans="1:9" ht="45" customHeight="1" thickBot="1" x14ac:dyDescent="0.3">
      <c r="A18" s="22"/>
      <c r="B18" s="268" t="s">
        <v>207</v>
      </c>
      <c r="C18" s="140" t="s">
        <v>205</v>
      </c>
      <c r="D18" s="348">
        <v>0</v>
      </c>
      <c r="E18" s="348">
        <v>0</v>
      </c>
      <c r="F18" s="366"/>
      <c r="G18" s="432" t="s">
        <v>206</v>
      </c>
      <c r="H18" s="407">
        <v>0.1</v>
      </c>
      <c r="I18" s="407">
        <v>0.1</v>
      </c>
    </row>
    <row r="19" spans="1:9" ht="45" customHeight="1" thickBot="1" x14ac:dyDescent="0.3">
      <c r="A19" s="22"/>
      <c r="B19" s="268" t="s">
        <v>208</v>
      </c>
      <c r="C19" s="140" t="s">
        <v>209</v>
      </c>
      <c r="D19" s="348">
        <v>0</v>
      </c>
      <c r="E19" s="348">
        <v>0</v>
      </c>
      <c r="F19" s="366"/>
      <c r="G19" s="432" t="s">
        <v>206</v>
      </c>
      <c r="H19" s="407">
        <v>0.05</v>
      </c>
      <c r="I19" s="407">
        <v>0.05</v>
      </c>
    </row>
    <row r="20" spans="1:9" ht="45" customHeight="1" thickBot="1" x14ac:dyDescent="0.3">
      <c r="A20" s="22"/>
      <c r="B20" s="268" t="s">
        <v>288</v>
      </c>
      <c r="C20" s="140" t="s">
        <v>205</v>
      </c>
      <c r="D20" s="348">
        <v>0</v>
      </c>
      <c r="E20" s="348">
        <v>0</v>
      </c>
      <c r="F20" s="366"/>
      <c r="G20" s="432" t="s">
        <v>206</v>
      </c>
      <c r="H20" s="407">
        <v>0.1</v>
      </c>
      <c r="I20" s="407">
        <v>0.1</v>
      </c>
    </row>
    <row r="21" spans="1:9" ht="45" customHeight="1" thickBot="1" x14ac:dyDescent="0.3">
      <c r="A21" s="22"/>
      <c r="B21" s="268" t="s">
        <v>210</v>
      </c>
      <c r="C21" s="140" t="s">
        <v>209</v>
      </c>
      <c r="D21" s="348">
        <v>0</v>
      </c>
      <c r="E21" s="348">
        <v>0</v>
      </c>
      <c r="F21" s="366"/>
      <c r="G21" s="432" t="s">
        <v>206</v>
      </c>
      <c r="H21" s="407">
        <v>0.05</v>
      </c>
      <c r="I21" s="407">
        <v>0.05</v>
      </c>
    </row>
    <row r="22" spans="1:9" ht="45" customHeight="1" thickBot="1" x14ac:dyDescent="0.3">
      <c r="A22" s="22"/>
      <c r="B22" s="342" t="s">
        <v>289</v>
      </c>
      <c r="C22" s="140" t="s">
        <v>209</v>
      </c>
      <c r="D22" s="348">
        <v>0</v>
      </c>
      <c r="E22" s="348">
        <v>0</v>
      </c>
      <c r="F22" s="366"/>
      <c r="G22" s="432" t="s">
        <v>206</v>
      </c>
      <c r="H22" s="407">
        <v>0.05</v>
      </c>
      <c r="I22" s="407">
        <v>0.05</v>
      </c>
    </row>
    <row r="23" spans="1:9" ht="45" customHeight="1" thickBot="1" x14ac:dyDescent="0.3">
      <c r="A23" s="22"/>
      <c r="B23" s="343" t="s">
        <v>213</v>
      </c>
      <c r="C23" s="286"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8">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h9t3o+B3Ntjw/NO15kT6u1GSGQTf/C9vG+zUS9U0XeSN4vzZ32EUWbW5zKk3k1xBDccz2tqICwq0Pcvucf5CJA==" saltValue="tPdonpXEdbNZ7x4PpABCZw=="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165" priority="41" operator="lessThan">
      <formula>0%</formula>
    </cfRule>
    <cfRule type="cellIs" dxfId="164" priority="42" operator="greaterThan">
      <formula>H17</formula>
    </cfRule>
    <cfRule type="cellIs" dxfId="163" priority="43" operator="between">
      <formula>0%</formula>
      <formula>H17</formula>
    </cfRule>
  </conditionalFormatting>
  <conditionalFormatting sqref="E17">
    <cfRule type="cellIs" dxfId="162" priority="37" operator="lessThan">
      <formula>0%</formula>
    </cfRule>
    <cfRule type="cellIs" dxfId="161" priority="38" operator="greaterThan">
      <formula>I17</formula>
    </cfRule>
    <cfRule type="cellIs" dxfId="160" priority="39" operator="between">
      <formula>0%</formula>
      <formula>I17</formula>
    </cfRule>
  </conditionalFormatting>
  <conditionalFormatting sqref="E18">
    <cfRule type="cellIs" dxfId="159" priority="34" operator="lessThan">
      <formula>0%</formula>
    </cfRule>
    <cfRule type="cellIs" dxfId="158" priority="35" operator="greaterThan">
      <formula>I18</formula>
    </cfRule>
    <cfRule type="cellIs" dxfId="157" priority="36" operator="between">
      <formula>0%</formula>
      <formula>I18</formula>
    </cfRule>
  </conditionalFormatting>
  <conditionalFormatting sqref="D18">
    <cfRule type="cellIs" dxfId="156" priority="31" operator="lessThan">
      <formula>0%</formula>
    </cfRule>
    <cfRule type="cellIs" dxfId="155" priority="32" operator="greaterThan">
      <formula>H18</formula>
    </cfRule>
    <cfRule type="cellIs" dxfId="154" priority="33" operator="between">
      <formula>0%</formula>
      <formula>H18</formula>
    </cfRule>
  </conditionalFormatting>
  <conditionalFormatting sqref="D19">
    <cfRule type="cellIs" dxfId="153" priority="28" operator="lessThan">
      <formula>0%</formula>
    </cfRule>
    <cfRule type="cellIs" dxfId="152" priority="29" operator="greaterThan">
      <formula>H19</formula>
    </cfRule>
    <cfRule type="cellIs" dxfId="151" priority="30" operator="between">
      <formula>0%</formula>
      <formula>H19</formula>
    </cfRule>
  </conditionalFormatting>
  <conditionalFormatting sqref="E19">
    <cfRule type="cellIs" dxfId="150" priority="25" operator="lessThan">
      <formula>0%</formula>
    </cfRule>
    <cfRule type="cellIs" dxfId="149" priority="26" operator="greaterThan">
      <formula>I19</formula>
    </cfRule>
    <cfRule type="cellIs" dxfId="148" priority="27" operator="between">
      <formula>0%</formula>
      <formula>I19</formula>
    </cfRule>
  </conditionalFormatting>
  <conditionalFormatting sqref="E20">
    <cfRule type="cellIs" dxfId="147" priority="22" operator="lessThan">
      <formula>0%</formula>
    </cfRule>
    <cfRule type="cellIs" dxfId="146" priority="23" operator="greaterThan">
      <formula>I20</formula>
    </cfRule>
    <cfRule type="cellIs" dxfId="145" priority="24" operator="between">
      <formula>0%</formula>
      <formula>I20</formula>
    </cfRule>
  </conditionalFormatting>
  <conditionalFormatting sqref="D20">
    <cfRule type="cellIs" dxfId="144" priority="19" operator="lessThan">
      <formula>0%</formula>
    </cfRule>
    <cfRule type="cellIs" dxfId="143" priority="20" operator="greaterThan">
      <formula>H20</formula>
    </cfRule>
    <cfRule type="cellIs" dxfId="142" priority="21" operator="between">
      <formula>0%</formula>
      <formula>H20</formula>
    </cfRule>
  </conditionalFormatting>
  <conditionalFormatting sqref="D21">
    <cfRule type="cellIs" dxfId="141" priority="16" operator="lessThan">
      <formula>0%</formula>
    </cfRule>
    <cfRule type="cellIs" dxfId="140" priority="17" operator="greaterThan">
      <formula>H21</formula>
    </cfRule>
    <cfRule type="cellIs" dxfId="139" priority="18" operator="between">
      <formula>0%</formula>
      <formula>H21</formula>
    </cfRule>
  </conditionalFormatting>
  <conditionalFormatting sqref="E21">
    <cfRule type="cellIs" dxfId="138" priority="13" operator="lessThan">
      <formula>0%</formula>
    </cfRule>
    <cfRule type="cellIs" dxfId="137" priority="14" operator="greaterThan">
      <formula>I21</formula>
    </cfRule>
    <cfRule type="cellIs" dxfId="136" priority="15" operator="between">
      <formula>0%</formula>
      <formula>I21</formula>
    </cfRule>
  </conditionalFormatting>
  <conditionalFormatting sqref="E22">
    <cfRule type="cellIs" dxfId="135" priority="10" operator="lessThan">
      <formula>0%</formula>
    </cfRule>
    <cfRule type="cellIs" dxfId="134" priority="11" operator="greaterThan">
      <formula>I22</formula>
    </cfRule>
    <cfRule type="cellIs" dxfId="133" priority="12" operator="between">
      <formula>0%</formula>
      <formula>I22</formula>
    </cfRule>
  </conditionalFormatting>
  <conditionalFormatting sqref="D22">
    <cfRule type="cellIs" dxfId="132" priority="7" operator="lessThan">
      <formula>0%</formula>
    </cfRule>
    <cfRule type="cellIs" dxfId="131" priority="8" operator="greaterThan">
      <formula>H22</formula>
    </cfRule>
    <cfRule type="cellIs" dxfId="130" priority="9" operator="between">
      <formula>0%</formula>
      <formula>H22</formula>
    </cfRule>
  </conditionalFormatting>
  <conditionalFormatting sqref="D23">
    <cfRule type="cellIs" dxfId="129" priority="4" operator="lessThan">
      <formula>0%</formula>
    </cfRule>
    <cfRule type="cellIs" dxfId="128" priority="5" operator="greaterThan">
      <formula>H23</formula>
    </cfRule>
    <cfRule type="cellIs" dxfId="127" priority="6" operator="between">
      <formula>0%</formula>
      <formula>H23</formula>
    </cfRule>
  </conditionalFormatting>
  <conditionalFormatting sqref="E23">
    <cfRule type="cellIs" dxfId="126" priority="1" operator="lessThan">
      <formula>0%</formula>
    </cfRule>
    <cfRule type="cellIs" dxfId="125" priority="2" operator="greaterThan">
      <formula>I23</formula>
    </cfRule>
    <cfRule type="cellIs" dxfId="124"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D4B16092-D007-446A-8D26-D4D7E92BF667}">
            <xm:f>-1 * 'STATE CODES (NUM) &amp; MIN-MAX'!$E$47</xm:f>
            <xm:f>'STATE CODES (NUM) &amp; MIN-MAX'!$E$47</xm:f>
            <x14:dxf>
              <font>
                <color theme="5" tint="-0.499984740745262"/>
              </font>
              <fill>
                <patternFill>
                  <bgColor rgb="FFFFCCCC"/>
                </patternFill>
              </fill>
            </x14:dxf>
          </x14:cfRule>
          <xm:sqref>E26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pageSetUpPr fitToPage="1"/>
  </sheetPr>
  <dimension ref="B2:O31"/>
  <sheetViews>
    <sheetView showGridLines="0" showRowColHeaders="0" zoomScale="90" zoomScaleNormal="90" workbookViewId="0">
      <selection activeCell="B10" sqref="B10:C10"/>
    </sheetView>
  </sheetViews>
  <sheetFormatPr defaultRowHeight="15" x14ac:dyDescent="0.25"/>
  <cols>
    <col min="1" max="1" width="6.42578125" customWidth="1"/>
    <col min="2" max="2" width="30.7109375" customWidth="1"/>
    <col min="3" max="3" width="27.7109375" customWidth="1"/>
    <col min="4" max="5" width="10.7109375" customWidth="1"/>
    <col min="6" max="6" width="25.7109375" customWidth="1"/>
    <col min="7" max="7" width="6.42578125" hidden="1" customWidth="1"/>
    <col min="8" max="8" width="0" hidden="1" customWidth="1"/>
    <col min="14" max="15" width="9.140625" style="454"/>
  </cols>
  <sheetData>
    <row r="2" spans="2:7" ht="15.75" x14ac:dyDescent="0.25">
      <c r="B2" s="826" t="s">
        <v>301</v>
      </c>
      <c r="C2" s="826"/>
      <c r="D2" s="826"/>
      <c r="E2" s="826"/>
      <c r="F2" s="826"/>
      <c r="G2" s="233"/>
    </row>
    <row r="3" spans="2:7" ht="20.25" x14ac:dyDescent="0.3">
      <c r="B3" s="665" t="s">
        <v>381</v>
      </c>
      <c r="C3" s="665"/>
      <c r="D3" s="665"/>
      <c r="E3" s="665"/>
      <c r="F3" s="665"/>
      <c r="G3" s="665"/>
    </row>
    <row r="4" spans="2:7" ht="15.75" x14ac:dyDescent="0.25">
      <c r="B4" s="203"/>
      <c r="C4" s="201"/>
      <c r="D4" s="201"/>
      <c r="E4" s="201"/>
      <c r="F4" s="201"/>
      <c r="G4" s="201"/>
    </row>
    <row r="5" spans="2:7" x14ac:dyDescent="0.25">
      <c r="B5" s="205" t="s">
        <v>303</v>
      </c>
      <c r="C5" s="201"/>
      <c r="D5" s="201"/>
      <c r="E5" s="201"/>
      <c r="F5" s="201"/>
      <c r="G5" s="201"/>
    </row>
    <row r="6" spans="2:7" ht="16.5" thickBot="1" x14ac:dyDescent="0.3">
      <c r="B6" s="206"/>
      <c r="C6" s="201"/>
      <c r="D6" s="201"/>
      <c r="E6" s="201"/>
      <c r="F6" s="201"/>
      <c r="G6" s="201"/>
    </row>
    <row r="7" spans="2:7" ht="15.75" x14ac:dyDescent="0.25">
      <c r="B7" s="547" t="s">
        <v>228</v>
      </c>
      <c r="C7" s="549"/>
      <c r="D7" s="547" t="s">
        <v>229</v>
      </c>
      <c r="E7" s="823"/>
      <c r="F7" s="824"/>
      <c r="G7" s="201"/>
    </row>
    <row r="8" spans="2:7" ht="24" customHeight="1" thickBot="1" x14ac:dyDescent="0.3">
      <c r="B8" s="807" t="str">
        <f>IF('Worksheet Prep'!D3&lt;&gt;"",'Worksheet Prep'!D3,"")</f>
        <v/>
      </c>
      <c r="C8" s="808"/>
      <c r="D8" s="759" t="str">
        <f>IF('Worksheet Prep'!G5&lt;&gt;"",'Worksheet Prep'!G5,"")</f>
        <v/>
      </c>
      <c r="E8" s="760"/>
      <c r="F8" s="761"/>
      <c r="G8" s="201"/>
    </row>
    <row r="9" spans="2:7" ht="15.75" x14ac:dyDescent="0.25">
      <c r="B9" s="547" t="s">
        <v>230</v>
      </c>
      <c r="C9" s="548"/>
      <c r="D9" s="547" t="s">
        <v>231</v>
      </c>
      <c r="E9" s="829"/>
      <c r="F9" s="830"/>
      <c r="G9" s="201"/>
    </row>
    <row r="10" spans="2:7" ht="24" customHeight="1" thickBot="1" x14ac:dyDescent="0.3">
      <c r="B10" s="608"/>
      <c r="C10" s="609"/>
      <c r="D10" s="783" t="str">
        <f>IF('Worksheet Prep'!C5&lt;&gt;"",'Worksheet Prep'!C5,"")</f>
        <v/>
      </c>
      <c r="E10" s="760"/>
      <c r="F10" s="761"/>
      <c r="G10" s="201"/>
    </row>
    <row r="11" spans="2:7" x14ac:dyDescent="0.25">
      <c r="B11" s="547" t="s">
        <v>232</v>
      </c>
      <c r="C11" s="549"/>
      <c r="D11" s="547" t="s">
        <v>233</v>
      </c>
      <c r="E11" s="549"/>
      <c r="F11" s="548"/>
      <c r="G11" s="201"/>
    </row>
    <row r="12" spans="2:7" ht="24" customHeight="1" thickBot="1" x14ac:dyDescent="0.3">
      <c r="B12" s="567" t="str">
        <f>'Additional Info'!F2</f>
        <v>Praetorian Insurance - 3501</v>
      </c>
      <c r="C12" s="568"/>
      <c r="D12" s="236" t="str">
        <f>D10</f>
        <v/>
      </c>
      <c r="E12" s="234" t="s">
        <v>382</v>
      </c>
      <c r="F12" s="235" t="str">
        <f>IF(D12&lt;&gt;"",D12+365,"")</f>
        <v/>
      </c>
      <c r="G12" s="201"/>
    </row>
    <row r="13" spans="2:7" x14ac:dyDescent="0.25">
      <c r="B13" s="547" t="s">
        <v>234</v>
      </c>
      <c r="C13" s="548"/>
      <c r="D13" s="217" t="s">
        <v>383</v>
      </c>
      <c r="E13" s="217"/>
      <c r="F13" s="218"/>
      <c r="G13" s="201"/>
    </row>
    <row r="14" spans="2:7" ht="24" customHeight="1" thickBot="1" x14ac:dyDescent="0.3">
      <c r="B14" s="770">
        <f>VLOOKUP(B12,'STATE CODES (NUM) &amp; MIN-MAX'!B56:D58,3,FALSE)</f>
        <v>21172</v>
      </c>
      <c r="C14" s="825"/>
      <c r="D14" s="223"/>
      <c r="E14" s="224"/>
      <c r="F14" s="225"/>
      <c r="G14" s="201"/>
    </row>
    <row r="15" spans="2:7" x14ac:dyDescent="0.25">
      <c r="B15" s="547" t="s">
        <v>240</v>
      </c>
      <c r="C15" s="548"/>
      <c r="D15" s="547" t="s">
        <v>370</v>
      </c>
      <c r="E15" s="549"/>
      <c r="F15" s="548"/>
      <c r="G15" s="201"/>
    </row>
    <row r="16" spans="2:7" ht="24" customHeight="1" thickBot="1" x14ac:dyDescent="0.3">
      <c r="B16" s="827"/>
      <c r="C16" s="828"/>
      <c r="D16" s="220"/>
      <c r="E16" s="221"/>
      <c r="F16" s="388">
        <v>0</v>
      </c>
      <c r="G16" s="201"/>
    </row>
    <row r="17" spans="2:9" ht="27" thickBot="1" x14ac:dyDescent="0.3">
      <c r="B17" s="207" t="s">
        <v>198</v>
      </c>
      <c r="C17" s="216" t="s">
        <v>199</v>
      </c>
      <c r="D17" s="219" t="s">
        <v>200</v>
      </c>
      <c r="E17" s="219" t="s">
        <v>201</v>
      </c>
      <c r="F17" s="219" t="s">
        <v>244</v>
      </c>
      <c r="G17" s="201"/>
    </row>
    <row r="18" spans="2:9" ht="45" customHeight="1" thickBot="1" x14ac:dyDescent="0.3">
      <c r="B18" s="228" t="s">
        <v>204</v>
      </c>
      <c r="C18" s="229" t="s">
        <v>245</v>
      </c>
      <c r="D18" s="346">
        <v>0</v>
      </c>
      <c r="E18" s="346">
        <v>0</v>
      </c>
      <c r="F18" s="385"/>
      <c r="G18" s="452">
        <v>0.1</v>
      </c>
      <c r="H18" s="452">
        <v>0.1</v>
      </c>
    </row>
    <row r="19" spans="2:9" ht="45" customHeight="1" thickBot="1" x14ac:dyDescent="0.3">
      <c r="B19" s="228" t="s">
        <v>207</v>
      </c>
      <c r="C19" s="230" t="s">
        <v>245</v>
      </c>
      <c r="D19" s="348">
        <v>0</v>
      </c>
      <c r="E19" s="348">
        <v>0</v>
      </c>
      <c r="F19" s="386"/>
      <c r="G19" s="452">
        <v>0.1</v>
      </c>
      <c r="H19" s="452">
        <v>0.1</v>
      </c>
    </row>
    <row r="20" spans="2:9" ht="45" customHeight="1" thickBot="1" x14ac:dyDescent="0.3">
      <c r="B20" s="228" t="s">
        <v>208</v>
      </c>
      <c r="C20" s="230" t="s">
        <v>246</v>
      </c>
      <c r="D20" s="348">
        <v>0</v>
      </c>
      <c r="E20" s="348">
        <v>0</v>
      </c>
      <c r="F20" s="386"/>
      <c r="G20" s="452">
        <v>0.05</v>
      </c>
      <c r="H20" s="452">
        <v>0.05</v>
      </c>
    </row>
    <row r="21" spans="2:9" ht="45" customHeight="1" thickBot="1" x14ac:dyDescent="0.3">
      <c r="B21" s="228" t="s">
        <v>210</v>
      </c>
      <c r="C21" s="230" t="s">
        <v>246</v>
      </c>
      <c r="D21" s="348">
        <v>0</v>
      </c>
      <c r="E21" s="348">
        <v>0</v>
      </c>
      <c r="F21" s="386"/>
      <c r="G21" s="452">
        <v>0.05</v>
      </c>
      <c r="H21" s="452">
        <v>0.05</v>
      </c>
    </row>
    <row r="22" spans="2:9" ht="45" customHeight="1" thickBot="1" x14ac:dyDescent="0.3">
      <c r="B22" s="228" t="s">
        <v>247</v>
      </c>
      <c r="C22" s="230" t="s">
        <v>245</v>
      </c>
      <c r="D22" s="348">
        <v>0</v>
      </c>
      <c r="E22" s="348">
        <v>0</v>
      </c>
      <c r="F22" s="386"/>
      <c r="G22" s="452">
        <v>0.1</v>
      </c>
      <c r="H22" s="452">
        <v>0.1</v>
      </c>
    </row>
    <row r="23" spans="2:9" ht="45" customHeight="1" thickBot="1" x14ac:dyDescent="0.3">
      <c r="B23" s="228" t="s">
        <v>248</v>
      </c>
      <c r="C23" s="230" t="s">
        <v>246</v>
      </c>
      <c r="D23" s="348">
        <v>0</v>
      </c>
      <c r="E23" s="348">
        <v>0</v>
      </c>
      <c r="F23" s="386"/>
      <c r="G23" s="452">
        <v>0.05</v>
      </c>
      <c r="H23" s="452">
        <v>0.05</v>
      </c>
    </row>
    <row r="24" spans="2:9" ht="45" customHeight="1" thickBot="1" x14ac:dyDescent="0.3">
      <c r="B24" s="228" t="s">
        <v>249</v>
      </c>
      <c r="C24" s="231" t="s">
        <v>246</v>
      </c>
      <c r="D24" s="447">
        <v>0</v>
      </c>
      <c r="E24" s="447">
        <v>0</v>
      </c>
      <c r="F24" s="387"/>
      <c r="G24" s="452">
        <v>0.05</v>
      </c>
      <c r="H24" s="452">
        <v>0.05</v>
      </c>
    </row>
    <row r="25" spans="2:9" ht="15.75" thickBot="1" x14ac:dyDescent="0.3">
      <c r="B25" s="193" t="s">
        <v>250</v>
      </c>
      <c r="C25" s="207"/>
      <c r="D25" s="195">
        <f>-1 * SUM(D18:D24)</f>
        <v>0</v>
      </c>
      <c r="E25" s="195">
        <f>SUM(E18:E24)</f>
        <v>0</v>
      </c>
      <c r="F25" s="196" t="s">
        <v>307</v>
      </c>
      <c r="G25" s="201"/>
    </row>
    <row r="26" spans="2:9" x14ac:dyDescent="0.25">
      <c r="B26" s="215"/>
      <c r="C26" s="214"/>
      <c r="D26" s="211"/>
      <c r="E26" s="211"/>
      <c r="F26" s="212"/>
      <c r="G26" s="226"/>
    </row>
    <row r="27" spans="2:9" ht="15.75" thickBot="1" x14ac:dyDescent="0.3">
      <c r="B27" s="222"/>
      <c r="C27" s="210" t="s">
        <v>215</v>
      </c>
      <c r="D27" s="214"/>
      <c r="E27" s="593">
        <f>SUM(D25:E25)</f>
        <v>0</v>
      </c>
      <c r="F27" s="593"/>
      <c r="G27" s="201"/>
      <c r="I27" t="s">
        <v>443</v>
      </c>
    </row>
    <row r="28" spans="2:9" x14ac:dyDescent="0.25">
      <c r="B28" s="213"/>
      <c r="C28" s="208"/>
      <c r="D28" s="210"/>
      <c r="E28" s="201"/>
      <c r="F28" s="210"/>
      <c r="G28" s="201"/>
    </row>
    <row r="29" spans="2:9" x14ac:dyDescent="0.25">
      <c r="B29" s="209"/>
      <c r="C29" s="208"/>
      <c r="D29" s="210"/>
      <c r="E29" s="210"/>
      <c r="F29" s="210"/>
      <c r="G29" s="201"/>
    </row>
    <row r="30" spans="2:9" ht="16.5" thickBot="1" x14ac:dyDescent="0.3">
      <c r="B30" s="436" t="s">
        <v>217</v>
      </c>
      <c r="C30" s="585" t="str">
        <f>'Worksheet Prep'!D4</f>
        <v/>
      </c>
      <c r="D30" s="585"/>
      <c r="E30" s="227" t="s">
        <v>218</v>
      </c>
      <c r="F30" s="232" t="str">
        <f>IF('Worksheet Prep'!J6&lt;&gt;"",'Worksheet Prep'!J6,"")</f>
        <v/>
      </c>
      <c r="G30" s="202"/>
    </row>
    <row r="31" spans="2:9" x14ac:dyDescent="0.25">
      <c r="B31" s="208"/>
      <c r="C31" s="208"/>
      <c r="D31" s="201"/>
      <c r="E31" s="209"/>
      <c r="F31" s="201"/>
      <c r="G31" s="201"/>
    </row>
  </sheetData>
  <sheetProtection algorithmName="SHA-512" hashValue="pfngWcPggPjGrqj7bgbKfSo9jT6j0obp74K+eeL00voqc1StmdRtnbV9/xmKKAprFeA9qyY9/jGFyE3zaEGXhQ==" saltValue="xW1iIgKTdyivty1AEvHLSg==" spinCount="100000" sheet="1" objects="1" scenarios="1" selectLockedCells="1"/>
  <mergeCells count="20">
    <mergeCell ref="B2:F2"/>
    <mergeCell ref="E27:F27"/>
    <mergeCell ref="B11:C11"/>
    <mergeCell ref="D11:F11"/>
    <mergeCell ref="B16:C16"/>
    <mergeCell ref="B12:C12"/>
    <mergeCell ref="B13:C13"/>
    <mergeCell ref="D15:F15"/>
    <mergeCell ref="B15:C15"/>
    <mergeCell ref="D9:F9"/>
    <mergeCell ref="D10:F10"/>
    <mergeCell ref="B9:C9"/>
    <mergeCell ref="B10:C10"/>
    <mergeCell ref="B3:G3"/>
    <mergeCell ref="B7:C7"/>
    <mergeCell ref="B8:C8"/>
    <mergeCell ref="D7:F7"/>
    <mergeCell ref="D8:F8"/>
    <mergeCell ref="B14:C14"/>
    <mergeCell ref="C30:D30"/>
  </mergeCells>
  <conditionalFormatting sqref="D18">
    <cfRule type="cellIs" dxfId="122" priority="41" operator="lessThan">
      <formula>0%</formula>
    </cfRule>
    <cfRule type="cellIs" dxfId="121" priority="42" operator="greaterThan">
      <formula>G18</formula>
    </cfRule>
    <cfRule type="cellIs" dxfId="120" priority="43" operator="between">
      <formula>0%</formula>
      <formula>G18</formula>
    </cfRule>
  </conditionalFormatting>
  <conditionalFormatting sqref="E18">
    <cfRule type="cellIs" dxfId="119" priority="38" operator="lessThan">
      <formula>0%</formula>
    </cfRule>
    <cfRule type="cellIs" dxfId="118" priority="39" operator="greaterThan">
      <formula>H18</formula>
    </cfRule>
    <cfRule type="cellIs" dxfId="117" priority="40" operator="between">
      <formula>0%</formula>
      <formula>H18</formula>
    </cfRule>
  </conditionalFormatting>
  <conditionalFormatting sqref="E19">
    <cfRule type="cellIs" dxfId="116" priority="35" operator="lessThan">
      <formula>0%</formula>
    </cfRule>
    <cfRule type="cellIs" dxfId="115" priority="36" operator="greaterThan">
      <formula>H19</formula>
    </cfRule>
    <cfRule type="cellIs" dxfId="114" priority="37" operator="between">
      <formula>0%</formula>
      <formula>H19</formula>
    </cfRule>
  </conditionalFormatting>
  <conditionalFormatting sqref="D19">
    <cfRule type="cellIs" dxfId="113" priority="32" operator="lessThan">
      <formula>0%</formula>
    </cfRule>
    <cfRule type="cellIs" dxfId="112" priority="33" operator="greaterThan">
      <formula>G19</formula>
    </cfRule>
    <cfRule type="cellIs" dxfId="111" priority="34" operator="between">
      <formula>0%</formula>
      <formula>G19</formula>
    </cfRule>
  </conditionalFormatting>
  <conditionalFormatting sqref="D20">
    <cfRule type="cellIs" dxfId="110" priority="29" operator="lessThan">
      <formula>0%</formula>
    </cfRule>
    <cfRule type="cellIs" dxfId="109" priority="30" operator="greaterThan">
      <formula>G20</formula>
    </cfRule>
    <cfRule type="cellIs" dxfId="108" priority="31" operator="between">
      <formula>0%</formula>
      <formula>G20</formula>
    </cfRule>
  </conditionalFormatting>
  <conditionalFormatting sqref="E20">
    <cfRule type="cellIs" dxfId="107" priority="26" operator="lessThan">
      <formula>0%</formula>
    </cfRule>
    <cfRule type="cellIs" dxfId="106" priority="27" operator="greaterThan">
      <formula>H20</formula>
    </cfRule>
    <cfRule type="cellIs" dxfId="105" priority="28" operator="between">
      <formula>0%</formula>
      <formula>H20</formula>
    </cfRule>
  </conditionalFormatting>
  <conditionalFormatting sqref="E21">
    <cfRule type="cellIs" dxfId="104" priority="23" operator="lessThan">
      <formula>0%</formula>
    </cfRule>
    <cfRule type="cellIs" dxfId="103" priority="24" operator="greaterThan">
      <formula>H21</formula>
    </cfRule>
    <cfRule type="cellIs" dxfId="102" priority="25" operator="between">
      <formula>0%</formula>
      <formula>H21</formula>
    </cfRule>
  </conditionalFormatting>
  <conditionalFormatting sqref="D21">
    <cfRule type="cellIs" dxfId="101" priority="20" operator="lessThan">
      <formula>0%</formula>
    </cfRule>
    <cfRule type="cellIs" dxfId="100" priority="21" operator="greaterThan">
      <formula>G21</formula>
    </cfRule>
    <cfRule type="cellIs" dxfId="99" priority="22" operator="between">
      <formula>0%</formula>
      <formula>G21</formula>
    </cfRule>
  </conditionalFormatting>
  <conditionalFormatting sqref="D22">
    <cfRule type="cellIs" dxfId="98" priority="17" operator="lessThan">
      <formula>0%</formula>
    </cfRule>
    <cfRule type="cellIs" dxfId="97" priority="18" operator="greaterThan">
      <formula>G22</formula>
    </cfRule>
    <cfRule type="cellIs" dxfId="96" priority="19" operator="between">
      <formula>0%</formula>
      <formula>G22</formula>
    </cfRule>
  </conditionalFormatting>
  <conditionalFormatting sqref="E22">
    <cfRule type="cellIs" dxfId="95" priority="14" operator="lessThan">
      <formula>0%</formula>
    </cfRule>
    <cfRule type="cellIs" dxfId="94" priority="15" operator="greaterThan">
      <formula>H22</formula>
    </cfRule>
    <cfRule type="cellIs" dxfId="93" priority="16" operator="between">
      <formula>0%</formula>
      <formula>H22</formula>
    </cfRule>
  </conditionalFormatting>
  <conditionalFormatting sqref="E23">
    <cfRule type="cellIs" dxfId="92" priority="11" operator="lessThan">
      <formula>0%</formula>
    </cfRule>
    <cfRule type="cellIs" dxfId="91" priority="12" operator="greaterThan">
      <formula>H23</formula>
    </cfRule>
    <cfRule type="cellIs" dxfId="90" priority="13" operator="between">
      <formula>0%</formula>
      <formula>H23</formula>
    </cfRule>
  </conditionalFormatting>
  <conditionalFormatting sqref="D23">
    <cfRule type="cellIs" dxfId="89" priority="8" operator="lessThan">
      <formula>0%</formula>
    </cfRule>
    <cfRule type="cellIs" dxfId="88" priority="9" operator="greaterThan">
      <formula>G23</formula>
    </cfRule>
    <cfRule type="cellIs" dxfId="87" priority="10" operator="between">
      <formula>0%</formula>
      <formula>G23</formula>
    </cfRule>
  </conditionalFormatting>
  <conditionalFormatting sqref="D24">
    <cfRule type="cellIs" dxfId="86" priority="5" operator="lessThan">
      <formula>0%</formula>
    </cfRule>
    <cfRule type="cellIs" dxfId="85" priority="6" operator="greaterThan">
      <formula>G24</formula>
    </cfRule>
    <cfRule type="cellIs" dxfId="84" priority="7" operator="between">
      <formula>0%</formula>
      <formula>G24</formula>
    </cfRule>
  </conditionalFormatting>
  <conditionalFormatting sqref="E24">
    <cfRule type="cellIs" dxfId="83" priority="2" operator="lessThan">
      <formula>0%</formula>
    </cfRule>
    <cfRule type="cellIs" dxfId="82" priority="3" operator="greaterThan">
      <formula>H24</formula>
    </cfRule>
    <cfRule type="cellIs" dxfId="81" priority="4" operator="between">
      <formula>0%</formula>
      <formula>H24</formula>
    </cfRule>
  </conditionalFormatting>
  <pageMargins left="0.7" right="0.7" top="0.75" bottom="0.75" header="0.3" footer="0.3"/>
  <pageSetup scale="8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2" r:id="rId4" name="Check Box 2">
              <controlPr defaultSize="0" autoFill="0" autoLine="0" autoPict="0">
                <anchor moveWithCells="1">
                  <from>
                    <xdr:col>3</xdr:col>
                    <xdr:colOff>38100</xdr:colOff>
                    <xdr:row>13</xdr:row>
                    <xdr:rowOff>9525</xdr:rowOff>
                  </from>
                  <to>
                    <xdr:col>4</xdr:col>
                    <xdr:colOff>104775</xdr:colOff>
                    <xdr:row>13</xdr:row>
                    <xdr:rowOff>219075</xdr:rowOff>
                  </to>
                </anchor>
              </controlPr>
            </control>
          </mc:Choice>
        </mc:AlternateContent>
        <mc:AlternateContent xmlns:mc="http://schemas.openxmlformats.org/markup-compatibility/2006">
          <mc:Choice Requires="x14">
            <control shapeId="46083" r:id="rId5" name="Check Box 3">
              <controlPr defaultSize="0" autoFill="0" autoLine="0" autoPict="0">
                <anchor moveWithCells="1">
                  <from>
                    <xdr:col>3</xdr:col>
                    <xdr:colOff>666750</xdr:colOff>
                    <xdr:row>13</xdr:row>
                    <xdr:rowOff>9525</xdr:rowOff>
                  </from>
                  <to>
                    <xdr:col>5</xdr:col>
                    <xdr:colOff>9525</xdr:colOff>
                    <xdr:row>13</xdr:row>
                    <xdr:rowOff>219075</xdr:rowOff>
                  </to>
                </anchor>
              </controlPr>
            </control>
          </mc:Choice>
        </mc:AlternateContent>
        <mc:AlternateContent xmlns:mc="http://schemas.openxmlformats.org/markup-compatibility/2006">
          <mc:Choice Requires="x14">
            <control shapeId="46084" r:id="rId6" name="Check Box 4">
              <controlPr defaultSize="0" autoFill="0" autoLine="0" autoPict="0">
                <anchor moveWithCells="1">
                  <from>
                    <xdr:col>3</xdr:col>
                    <xdr:colOff>38100</xdr:colOff>
                    <xdr:row>15</xdr:row>
                    <xdr:rowOff>28575</xdr:rowOff>
                  </from>
                  <to>
                    <xdr:col>4</xdr:col>
                    <xdr:colOff>104775</xdr:colOff>
                    <xdr:row>15</xdr:row>
                    <xdr:rowOff>247650</xdr:rowOff>
                  </to>
                </anchor>
              </controlPr>
            </control>
          </mc:Choice>
        </mc:AlternateContent>
        <mc:AlternateContent xmlns:mc="http://schemas.openxmlformats.org/markup-compatibility/2006">
          <mc:Choice Requires="x14">
            <control shapeId="46085" r:id="rId7" name="Check Box 5">
              <controlPr defaultSize="0" autoFill="0" autoLine="0" autoPict="0">
                <anchor moveWithCells="1">
                  <from>
                    <xdr:col>3</xdr:col>
                    <xdr:colOff>666750</xdr:colOff>
                    <xdr:row>15</xdr:row>
                    <xdr:rowOff>28575</xdr:rowOff>
                  </from>
                  <to>
                    <xdr:col>5</xdr:col>
                    <xdr:colOff>9525</xdr:colOff>
                    <xdr:row>15</xdr:row>
                    <xdr:rowOff>247650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notBetween" id="{2C5F6363-2C14-4D06-9308-5273CACBDBC9}">
            <xm:f>-1 * 'STATE CODES (NUM) &amp; MIN-MAX'!$E$48</xm:f>
            <xm:f>'STATE CODES (NUM) &amp; MIN-MAX'!$E$48</xm:f>
            <x14:dxf>
              <font>
                <color theme="5" tint="-0.499984740745262"/>
              </font>
              <fill>
                <patternFill>
                  <bgColor rgb="FFFFCCCC"/>
                </patternFill>
              </fill>
            </x14:dxf>
          </x14:cfRule>
          <xm:sqref>E27</xm:sqref>
        </x14:conditionalFormatting>
      </x14:conditionalFormatting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pageSetUpPr fitToPage="1"/>
  </sheetPr>
  <dimension ref="A1:I29"/>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380</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Virginia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379</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342" t="s">
        <v>204</v>
      </c>
      <c r="C17" s="278" t="s">
        <v>209</v>
      </c>
      <c r="D17" s="346">
        <v>0</v>
      </c>
      <c r="E17" s="346">
        <v>0</v>
      </c>
      <c r="F17" s="364"/>
      <c r="G17" s="431" t="s">
        <v>206</v>
      </c>
      <c r="H17" s="407">
        <v>0.05</v>
      </c>
      <c r="I17" s="407">
        <v>0.05</v>
      </c>
    </row>
    <row r="18" spans="1:9" ht="45" customHeight="1" thickBot="1" x14ac:dyDescent="0.3">
      <c r="A18" s="22"/>
      <c r="B18" s="268" t="s">
        <v>207</v>
      </c>
      <c r="C18" s="137" t="s">
        <v>209</v>
      </c>
      <c r="D18" s="348">
        <v>0</v>
      </c>
      <c r="E18" s="348">
        <v>0</v>
      </c>
      <c r="F18" s="366"/>
      <c r="G18" s="432" t="s">
        <v>206</v>
      </c>
      <c r="H18" s="407">
        <v>0.05</v>
      </c>
      <c r="I18" s="407">
        <v>0.05</v>
      </c>
    </row>
    <row r="19" spans="1:9" ht="45" customHeight="1" thickBot="1" x14ac:dyDescent="0.3">
      <c r="A19" s="22"/>
      <c r="B19" s="268" t="s">
        <v>208</v>
      </c>
      <c r="C19" s="137" t="s">
        <v>209</v>
      </c>
      <c r="D19" s="348">
        <v>0</v>
      </c>
      <c r="E19" s="348">
        <v>0</v>
      </c>
      <c r="F19" s="366"/>
      <c r="G19" s="432" t="s">
        <v>206</v>
      </c>
      <c r="H19" s="407">
        <v>0.05</v>
      </c>
      <c r="I19" s="407">
        <v>0.05</v>
      </c>
    </row>
    <row r="20" spans="1:9" ht="45" customHeight="1" thickBot="1" x14ac:dyDescent="0.3">
      <c r="A20" s="22"/>
      <c r="B20" s="268" t="s">
        <v>288</v>
      </c>
      <c r="C20" s="137" t="s">
        <v>209</v>
      </c>
      <c r="D20" s="348">
        <v>0</v>
      </c>
      <c r="E20" s="348">
        <v>0</v>
      </c>
      <c r="F20" s="366"/>
      <c r="G20" s="432" t="s">
        <v>206</v>
      </c>
      <c r="H20" s="407">
        <v>0.05</v>
      </c>
      <c r="I20" s="407">
        <v>0.05</v>
      </c>
    </row>
    <row r="21" spans="1:9" ht="45" customHeight="1" thickBot="1" x14ac:dyDescent="0.3">
      <c r="A21" s="22"/>
      <c r="B21" s="268" t="s">
        <v>210</v>
      </c>
      <c r="C21" s="137" t="s">
        <v>209</v>
      </c>
      <c r="D21" s="348">
        <v>0</v>
      </c>
      <c r="E21" s="348">
        <v>0</v>
      </c>
      <c r="F21" s="366"/>
      <c r="G21" s="432" t="s">
        <v>206</v>
      </c>
      <c r="H21" s="407">
        <v>0.05</v>
      </c>
      <c r="I21" s="407">
        <v>0.05</v>
      </c>
    </row>
    <row r="22" spans="1:9" ht="45" customHeight="1" thickBot="1" x14ac:dyDescent="0.3">
      <c r="A22" s="22"/>
      <c r="B22" s="342" t="s">
        <v>289</v>
      </c>
      <c r="C22" s="279" t="s">
        <v>209</v>
      </c>
      <c r="D22" s="447">
        <v>0</v>
      </c>
      <c r="E22" s="447">
        <v>0</v>
      </c>
      <c r="F22" s="369"/>
      <c r="G22" s="433" t="s">
        <v>206</v>
      </c>
      <c r="H22" s="407">
        <v>0.05</v>
      </c>
      <c r="I22" s="407">
        <v>0.05</v>
      </c>
    </row>
    <row r="23" spans="1:9" ht="16.5" thickBot="1" x14ac:dyDescent="0.3">
      <c r="A23" s="22"/>
      <c r="B23" s="92" t="s">
        <v>214</v>
      </c>
      <c r="C23" s="92"/>
      <c r="D23" s="282">
        <f>-1 * SUM(D17:D22)</f>
        <v>0</v>
      </c>
      <c r="E23" s="282">
        <f>SUM(E17:E22)</f>
        <v>0</v>
      </c>
      <c r="F23" s="93"/>
      <c r="G23" s="93"/>
      <c r="H23" s="22"/>
    </row>
    <row r="24" spans="1:9" ht="15.75" x14ac:dyDescent="0.25">
      <c r="A24" s="22"/>
      <c r="B24" s="92"/>
      <c r="C24" s="92"/>
      <c r="D24" s="93"/>
      <c r="E24" s="93"/>
      <c r="F24" s="93"/>
      <c r="G24" s="93"/>
      <c r="H24" s="22"/>
    </row>
    <row r="25" spans="1:9" ht="16.5" thickBot="1" x14ac:dyDescent="0.3">
      <c r="A25" s="22"/>
      <c r="B25" s="92"/>
      <c r="C25" s="251"/>
      <c r="D25" s="251" t="s">
        <v>287</v>
      </c>
      <c r="E25" s="448">
        <f>SUM(D23:E23)</f>
        <v>0</v>
      </c>
      <c r="F25" s="659" t="s">
        <v>443</v>
      </c>
      <c r="G25" s="660"/>
      <c r="H25" s="22"/>
    </row>
    <row r="26" spans="1:9" ht="15.75" x14ac:dyDescent="0.25">
      <c r="A26" s="22"/>
      <c r="B26" s="92"/>
      <c r="C26" s="92"/>
      <c r="D26" s="100"/>
      <c r="E26" s="93"/>
      <c r="F26" s="93"/>
      <c r="G26" s="93"/>
      <c r="H26" s="22"/>
    </row>
    <row r="27" spans="1:9" ht="16.5" thickBot="1" x14ac:dyDescent="0.3">
      <c r="A27" s="22"/>
      <c r="B27" s="99" t="s">
        <v>217</v>
      </c>
      <c r="C27" s="496" t="str">
        <f>'Worksheet Prep'!D4</f>
        <v/>
      </c>
      <c r="D27" s="496"/>
      <c r="E27" s="99" t="s">
        <v>218</v>
      </c>
      <c r="F27" s="117" t="str">
        <f>IF('Worksheet Prep'!J6&lt;&gt;"",'Worksheet Prep'!J6,"")</f>
        <v/>
      </c>
      <c r="G27" s="22"/>
      <c r="H27" s="22"/>
    </row>
    <row r="28" spans="1:9" x14ac:dyDescent="0.25">
      <c r="A28" s="22"/>
      <c r="B28" s="22"/>
      <c r="C28" s="22"/>
      <c r="D28" s="22"/>
      <c r="E28" s="22"/>
      <c r="F28" s="22"/>
      <c r="G28" s="22"/>
      <c r="H28" s="22"/>
    </row>
    <row r="29" spans="1:9" x14ac:dyDescent="0.25">
      <c r="A29" s="22"/>
      <c r="B29" s="22"/>
      <c r="C29" s="22"/>
      <c r="D29" s="22"/>
      <c r="E29" s="22"/>
      <c r="F29" s="22"/>
      <c r="G29" s="22"/>
      <c r="H29" s="22"/>
    </row>
  </sheetData>
  <sheetProtection algorithmName="SHA-512" hashValue="x225Ed6UsNSNc9wbKJuBEXpeAesz4lhkOFSAVYmvU3QiM0S9Guwm8B9Urr6JX2ExxbJIXK9EzBb05z/vG00gtQ==" saltValue="ORsq5lhEe1nYNlBD0BfqzA==" spinCount="100000" sheet="1" objects="1" scenarios="1" selectLockedCells="1"/>
  <mergeCells count="14">
    <mergeCell ref="F25:G25"/>
    <mergeCell ref="C27:D27"/>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79" priority="35" operator="lessThan">
      <formula>0%</formula>
    </cfRule>
    <cfRule type="cellIs" dxfId="78" priority="36" operator="greaterThan">
      <formula>H17</formula>
    </cfRule>
    <cfRule type="cellIs" dxfId="77" priority="37" operator="between">
      <formula>0%</formula>
      <formula>H17</formula>
    </cfRule>
  </conditionalFormatting>
  <conditionalFormatting sqref="E17">
    <cfRule type="cellIs" dxfId="76" priority="31" operator="lessThan">
      <formula>0%</formula>
    </cfRule>
    <cfRule type="cellIs" dxfId="75" priority="32" operator="greaterThan">
      <formula>I17</formula>
    </cfRule>
    <cfRule type="cellIs" dxfId="74" priority="33" operator="between">
      <formula>0%</formula>
      <formula>I17</formula>
    </cfRule>
  </conditionalFormatting>
  <conditionalFormatting sqref="E18">
    <cfRule type="cellIs" dxfId="73" priority="28" operator="lessThan">
      <formula>0%</formula>
    </cfRule>
    <cfRule type="cellIs" dxfId="72" priority="29" operator="greaterThan">
      <formula>I18</formula>
    </cfRule>
    <cfRule type="cellIs" dxfId="71" priority="30" operator="between">
      <formula>0%</formula>
      <formula>I18</formula>
    </cfRule>
  </conditionalFormatting>
  <conditionalFormatting sqref="D18">
    <cfRule type="cellIs" dxfId="70" priority="25" operator="lessThan">
      <formula>0%</formula>
    </cfRule>
    <cfRule type="cellIs" dxfId="69" priority="26" operator="greaterThan">
      <formula>H18</formula>
    </cfRule>
    <cfRule type="cellIs" dxfId="68" priority="27" operator="between">
      <formula>0%</formula>
      <formula>H18</formula>
    </cfRule>
  </conditionalFormatting>
  <conditionalFormatting sqref="D19">
    <cfRule type="cellIs" dxfId="67" priority="22" operator="lessThan">
      <formula>0%</formula>
    </cfRule>
    <cfRule type="cellIs" dxfId="66" priority="23" operator="greaterThan">
      <formula>H19</formula>
    </cfRule>
    <cfRule type="cellIs" dxfId="65" priority="24" operator="between">
      <formula>0%</formula>
      <formula>H19</formula>
    </cfRule>
  </conditionalFormatting>
  <conditionalFormatting sqref="E19">
    <cfRule type="cellIs" dxfId="64" priority="19" operator="lessThan">
      <formula>0%</formula>
    </cfRule>
    <cfRule type="cellIs" dxfId="63" priority="20" operator="greaterThan">
      <formula>I19</formula>
    </cfRule>
    <cfRule type="cellIs" dxfId="62" priority="21" operator="between">
      <formula>0%</formula>
      <formula>I19</formula>
    </cfRule>
  </conditionalFormatting>
  <conditionalFormatting sqref="E20">
    <cfRule type="cellIs" dxfId="61" priority="16" operator="lessThan">
      <formula>0%</formula>
    </cfRule>
    <cfRule type="cellIs" dxfId="60" priority="17" operator="greaterThan">
      <formula>I20</formula>
    </cfRule>
    <cfRule type="cellIs" dxfId="59" priority="18" operator="between">
      <formula>0%</formula>
      <formula>I20</formula>
    </cfRule>
  </conditionalFormatting>
  <conditionalFormatting sqref="D20">
    <cfRule type="cellIs" dxfId="58" priority="13" operator="lessThan">
      <formula>0%</formula>
    </cfRule>
    <cfRule type="cellIs" dxfId="57" priority="14" operator="greaterThan">
      <formula>H20</formula>
    </cfRule>
    <cfRule type="cellIs" dxfId="56" priority="15" operator="between">
      <formula>0%</formula>
      <formula>H20</formula>
    </cfRule>
  </conditionalFormatting>
  <conditionalFormatting sqref="D21">
    <cfRule type="cellIs" dxfId="55" priority="10" operator="lessThan">
      <formula>0%</formula>
    </cfRule>
    <cfRule type="cellIs" dxfId="54" priority="11" operator="greaterThan">
      <formula>H21</formula>
    </cfRule>
    <cfRule type="cellIs" dxfId="53" priority="12" operator="between">
      <formula>0%</formula>
      <formula>H21</formula>
    </cfRule>
  </conditionalFormatting>
  <conditionalFormatting sqref="E21">
    <cfRule type="cellIs" dxfId="52" priority="7" operator="lessThan">
      <formula>0%</formula>
    </cfRule>
    <cfRule type="cellIs" dxfId="51" priority="8" operator="greaterThan">
      <formula>I21</formula>
    </cfRule>
    <cfRule type="cellIs" dxfId="50" priority="9" operator="between">
      <formula>0%</formula>
      <formula>I21</formula>
    </cfRule>
  </conditionalFormatting>
  <conditionalFormatting sqref="E22">
    <cfRule type="cellIs" dxfId="49" priority="4" operator="lessThan">
      <formula>0%</formula>
    </cfRule>
    <cfRule type="cellIs" dxfId="48" priority="5" operator="greaterThan">
      <formula>I22</formula>
    </cfRule>
    <cfRule type="cellIs" dxfId="47" priority="6" operator="between">
      <formula>0%</formula>
      <formula>I22</formula>
    </cfRule>
  </conditionalFormatting>
  <conditionalFormatting sqref="D22">
    <cfRule type="cellIs" dxfId="46" priority="1" operator="lessThan">
      <formula>0%</formula>
    </cfRule>
    <cfRule type="cellIs" dxfId="45" priority="2" operator="greaterThan">
      <formula>H22</formula>
    </cfRule>
    <cfRule type="cellIs" dxfId="44" priority="3" operator="between">
      <formula>0%</formula>
      <formula>H22</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34" operator="notBetween" id="{1448D4A7-A052-4685-B2E3-0548924DD957}">
            <xm:f>-1 * 'STATE CODES (NUM) &amp; MIN-MAX'!$E$49</xm:f>
            <xm:f>'STATE CODES (NUM) &amp; MIN-MAX'!$E$49</xm:f>
            <x14:dxf>
              <font>
                <color theme="5" tint="-0.499984740745262"/>
              </font>
              <fill>
                <patternFill>
                  <bgColor rgb="FFFFCCCC"/>
                </patternFill>
              </fill>
            </x14:dxf>
          </x14:cfRule>
          <xm:sqref>E25</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3">
    <pageSetUpPr fitToPage="1"/>
  </sheetPr>
  <dimension ref="A1:I30"/>
  <sheetViews>
    <sheetView showGridLines="0" showRowColHeaders="0" zoomScale="90" zoomScaleNormal="90" workbookViewId="0">
      <selection activeCell="C8" sqref="C8"/>
    </sheetView>
  </sheetViews>
  <sheetFormatPr defaultRowHeight="15" x14ac:dyDescent="0.25"/>
  <cols>
    <col min="1" max="1" width="6.42578125" customWidth="1"/>
    <col min="2" max="2" width="24.5703125" customWidth="1"/>
    <col min="3" max="3" width="39" customWidth="1"/>
    <col min="4" max="4" width="16.42578125" customWidth="1"/>
    <col min="5" max="5" width="15.42578125" customWidth="1"/>
    <col min="6" max="6" width="29.140625" customWidth="1"/>
    <col min="7" max="7" width="15.7109375" customWidth="1"/>
    <col min="8" max="8" width="6.42578125" hidden="1" customWidth="1"/>
    <col min="9" max="9" width="0" hidden="1" customWidth="1"/>
  </cols>
  <sheetData>
    <row r="1" spans="1:8" x14ac:dyDescent="0.25">
      <c r="A1" s="22"/>
      <c r="B1" s="22"/>
      <c r="C1" s="22"/>
      <c r="D1" s="22"/>
      <c r="E1" s="22"/>
      <c r="F1" s="22"/>
      <c r="G1" s="22"/>
      <c r="H1" s="22"/>
    </row>
    <row r="2" spans="1:8" ht="18" x14ac:dyDescent="0.25">
      <c r="A2" s="22"/>
      <c r="B2" s="502" t="s">
        <v>192</v>
      </c>
      <c r="C2" s="503"/>
      <c r="D2" s="503"/>
      <c r="E2" s="503"/>
      <c r="F2" s="503"/>
      <c r="G2" s="503"/>
      <c r="H2" s="22"/>
    </row>
    <row r="3" spans="1:8" ht="15.75" x14ac:dyDescent="0.25">
      <c r="A3" s="22"/>
      <c r="B3" s="92"/>
      <c r="C3" s="92"/>
      <c r="D3" s="93"/>
      <c r="E3" s="93"/>
      <c r="F3" s="93"/>
      <c r="G3" s="93"/>
      <c r="H3" s="22"/>
    </row>
    <row r="4" spans="1:8" ht="20.25" x14ac:dyDescent="0.3">
      <c r="A4" s="22"/>
      <c r="B4" s="637" t="s">
        <v>139</v>
      </c>
      <c r="C4" s="637"/>
      <c r="D4" s="637"/>
      <c r="E4" s="637"/>
      <c r="F4" s="637"/>
      <c r="G4" s="637"/>
      <c r="H4" s="22"/>
    </row>
    <row r="5" spans="1:8" ht="15.75" x14ac:dyDescent="0.25">
      <c r="A5" s="22"/>
      <c r="B5" s="92"/>
      <c r="C5" s="92"/>
      <c r="D5" s="93"/>
      <c r="E5" s="93"/>
      <c r="F5" s="93"/>
      <c r="G5" s="93"/>
      <c r="H5" s="22"/>
    </row>
    <row r="6" spans="1:8" ht="15.75" x14ac:dyDescent="0.25">
      <c r="A6" s="22"/>
      <c r="B6" s="252" t="s">
        <v>193</v>
      </c>
      <c r="C6" s="242" t="str">
        <f>IF('Worksheet Prep'!D3&lt;&gt;"",'Worksheet Prep'!D3,"")</f>
        <v/>
      </c>
      <c r="D6" s="252"/>
      <c r="E6" s="252" t="s">
        <v>194</v>
      </c>
      <c r="F6" s="508" t="str">
        <f>IF('Worksheet Prep'!G5&lt;&gt;"",'Worksheet Prep'!G5,"")</f>
        <v/>
      </c>
      <c r="G6" s="508"/>
      <c r="H6" s="94"/>
    </row>
    <row r="7" spans="1:8" x14ac:dyDescent="0.25">
      <c r="A7" s="22"/>
      <c r="B7" s="22"/>
      <c r="C7" s="22"/>
      <c r="D7" s="22"/>
      <c r="E7" s="22"/>
      <c r="F7" s="22"/>
      <c r="G7" s="22"/>
      <c r="H7" s="22"/>
    </row>
    <row r="8" spans="1:8" ht="15.75" x14ac:dyDescent="0.25">
      <c r="A8" s="22"/>
      <c r="B8" s="252" t="s">
        <v>224</v>
      </c>
      <c r="C8" s="345"/>
      <c r="D8" s="252"/>
      <c r="E8" s="252" t="s">
        <v>195</v>
      </c>
      <c r="F8" s="509" t="str">
        <f>IF('Worksheet Prep'!C5&lt;&gt;"",'Worksheet Prep'!C5,"")</f>
        <v/>
      </c>
      <c r="G8" s="509"/>
      <c r="H8" s="95"/>
    </row>
    <row r="9" spans="1:8" x14ac:dyDescent="0.25">
      <c r="A9" s="22"/>
      <c r="B9" s="22"/>
      <c r="C9" s="22"/>
      <c r="D9" s="22"/>
      <c r="E9" s="22"/>
      <c r="F9" s="22"/>
      <c r="G9" s="22"/>
      <c r="H9" s="22"/>
    </row>
    <row r="10" spans="1:8" ht="15.75" x14ac:dyDescent="0.25">
      <c r="A10" s="22"/>
      <c r="B10" s="252" t="s">
        <v>196</v>
      </c>
      <c r="C10" s="242" t="str">
        <f>'Additional Info'!F2</f>
        <v>Praetorian Insurance - 3501</v>
      </c>
      <c r="D10" s="94"/>
      <c r="E10" s="252" t="s">
        <v>323</v>
      </c>
      <c r="F10" s="283" t="str">
        <f>B4</f>
        <v>WEST VIRGINIA</v>
      </c>
      <c r="G10" s="134"/>
      <c r="H10" s="22"/>
    </row>
    <row r="11" spans="1:8" ht="24" customHeight="1" x14ac:dyDescent="0.25">
      <c r="A11" s="22"/>
      <c r="B11" s="252" t="s">
        <v>197</v>
      </c>
      <c r="C11" s="96">
        <f>VLOOKUP(C10,'STATE CODES (NUM) &amp; MIN-MAX'!B56:D58,3,FALSE)</f>
        <v>21172</v>
      </c>
      <c r="D11" s="501"/>
      <c r="E11" s="501"/>
      <c r="F11" s="93"/>
      <c r="G11" s="93"/>
      <c r="H11" s="22"/>
    </row>
    <row r="12" spans="1:8" ht="15.75" x14ac:dyDescent="0.25">
      <c r="A12" s="22"/>
      <c r="B12" s="252"/>
      <c r="C12" s="97"/>
      <c r="D12" s="240"/>
      <c r="E12" s="240"/>
      <c r="F12" s="93"/>
      <c r="G12" s="93"/>
      <c r="H12" s="22"/>
    </row>
    <row r="13" spans="1:8" x14ac:dyDescent="0.25">
      <c r="A13" s="22"/>
      <c r="B13" s="499" t="s">
        <v>316</v>
      </c>
      <c r="C13" s="499"/>
      <c r="D13" s="499"/>
      <c r="E13" s="499"/>
      <c r="F13" s="499"/>
      <c r="G13" s="499"/>
      <c r="H13" s="22"/>
    </row>
    <row r="14" spans="1:8" ht="15.75" thickBot="1" x14ac:dyDescent="0.3">
      <c r="A14" s="22"/>
      <c r="B14" s="500"/>
      <c r="C14" s="500"/>
      <c r="D14" s="500"/>
      <c r="E14" s="500"/>
      <c r="F14" s="500"/>
      <c r="G14" s="500"/>
      <c r="H14" s="22"/>
    </row>
    <row r="15" spans="1:8" x14ac:dyDescent="0.25">
      <c r="A15" s="22"/>
      <c r="B15" s="657" t="s">
        <v>198</v>
      </c>
      <c r="C15" s="497" t="s">
        <v>199</v>
      </c>
      <c r="D15" s="497" t="s">
        <v>200</v>
      </c>
      <c r="E15" s="497" t="s">
        <v>201</v>
      </c>
      <c r="F15" s="497" t="s">
        <v>202</v>
      </c>
      <c r="G15" s="497" t="s">
        <v>203</v>
      </c>
      <c r="H15" s="22"/>
    </row>
    <row r="16" spans="1:8" ht="15.75" thickBot="1" x14ac:dyDescent="0.3">
      <c r="A16" s="22"/>
      <c r="B16" s="658"/>
      <c r="C16" s="498"/>
      <c r="D16" s="498"/>
      <c r="E16" s="498"/>
      <c r="F16" s="498"/>
      <c r="G16" s="498"/>
      <c r="H16" s="22"/>
    </row>
    <row r="17" spans="1:9" ht="45" customHeight="1" thickBot="1" x14ac:dyDescent="0.3">
      <c r="A17" s="22"/>
      <c r="B17" s="268" t="s">
        <v>204</v>
      </c>
      <c r="C17" s="135" t="s">
        <v>205</v>
      </c>
      <c r="D17" s="346">
        <v>0</v>
      </c>
      <c r="E17" s="346">
        <v>0</v>
      </c>
      <c r="F17" s="364"/>
      <c r="G17" s="431" t="s">
        <v>206</v>
      </c>
      <c r="H17" s="407">
        <v>0.1</v>
      </c>
      <c r="I17" s="407">
        <v>0.1</v>
      </c>
    </row>
    <row r="18" spans="1:9" ht="45" customHeight="1" thickBot="1" x14ac:dyDescent="0.3">
      <c r="A18" s="22"/>
      <c r="B18" s="268" t="s">
        <v>207</v>
      </c>
      <c r="C18" s="136" t="s">
        <v>205</v>
      </c>
      <c r="D18" s="348">
        <v>0</v>
      </c>
      <c r="E18" s="348">
        <v>0</v>
      </c>
      <c r="F18" s="366"/>
      <c r="G18" s="432" t="s">
        <v>206</v>
      </c>
      <c r="H18" s="407">
        <v>0.1</v>
      </c>
      <c r="I18" s="407">
        <v>0.1</v>
      </c>
    </row>
    <row r="19" spans="1:9" ht="45" customHeight="1" thickBot="1" x14ac:dyDescent="0.3">
      <c r="A19" s="22"/>
      <c r="B19" s="268" t="s">
        <v>208</v>
      </c>
      <c r="C19" s="137" t="s">
        <v>209</v>
      </c>
      <c r="D19" s="348">
        <v>0</v>
      </c>
      <c r="E19" s="348">
        <v>0</v>
      </c>
      <c r="F19" s="366"/>
      <c r="G19" s="432" t="s">
        <v>206</v>
      </c>
      <c r="H19" s="407">
        <v>0.05</v>
      </c>
      <c r="I19" s="407">
        <v>0.05</v>
      </c>
    </row>
    <row r="20" spans="1:9" ht="45" customHeight="1" thickBot="1" x14ac:dyDescent="0.3">
      <c r="A20" s="22"/>
      <c r="B20" s="268" t="s">
        <v>288</v>
      </c>
      <c r="C20" s="137" t="s">
        <v>205</v>
      </c>
      <c r="D20" s="348">
        <v>0</v>
      </c>
      <c r="E20" s="348">
        <v>0</v>
      </c>
      <c r="F20" s="366"/>
      <c r="G20" s="432" t="s">
        <v>206</v>
      </c>
      <c r="H20" s="407">
        <v>0.1</v>
      </c>
      <c r="I20" s="407">
        <v>0.1</v>
      </c>
    </row>
    <row r="21" spans="1:9" ht="45" customHeight="1" thickBot="1" x14ac:dyDescent="0.3">
      <c r="A21" s="22"/>
      <c r="B21" s="268" t="s">
        <v>210</v>
      </c>
      <c r="C21" s="137" t="s">
        <v>209</v>
      </c>
      <c r="D21" s="348">
        <v>0</v>
      </c>
      <c r="E21" s="348">
        <v>0</v>
      </c>
      <c r="F21" s="366"/>
      <c r="G21" s="432" t="s">
        <v>206</v>
      </c>
      <c r="H21" s="407">
        <v>0.05</v>
      </c>
      <c r="I21" s="407">
        <v>0.05</v>
      </c>
    </row>
    <row r="22" spans="1:9" ht="45" customHeight="1" thickBot="1" x14ac:dyDescent="0.3">
      <c r="A22" s="22"/>
      <c r="B22" s="268" t="s">
        <v>289</v>
      </c>
      <c r="C22" s="137" t="s">
        <v>209</v>
      </c>
      <c r="D22" s="348">
        <v>0</v>
      </c>
      <c r="E22" s="348">
        <v>0</v>
      </c>
      <c r="F22" s="366"/>
      <c r="G22" s="432" t="s">
        <v>206</v>
      </c>
      <c r="H22" s="407">
        <v>0.05</v>
      </c>
      <c r="I22" s="407">
        <v>0.05</v>
      </c>
    </row>
    <row r="23" spans="1:9" ht="45" customHeight="1" thickBot="1" x14ac:dyDescent="0.3">
      <c r="A23" s="22"/>
      <c r="B23" s="342" t="s">
        <v>213</v>
      </c>
      <c r="C23" s="139" t="s">
        <v>209</v>
      </c>
      <c r="D23" s="447">
        <v>0</v>
      </c>
      <c r="E23" s="447">
        <v>0</v>
      </c>
      <c r="F23" s="369"/>
      <c r="G23" s="433" t="s">
        <v>206</v>
      </c>
      <c r="H23" s="407">
        <v>0.05</v>
      </c>
      <c r="I23" s="407">
        <v>0.05</v>
      </c>
    </row>
    <row r="24" spans="1:9" ht="16.5" thickBot="1" x14ac:dyDescent="0.3">
      <c r="A24" s="22"/>
      <c r="B24" s="92" t="s">
        <v>214</v>
      </c>
      <c r="C24" s="92"/>
      <c r="D24" s="282">
        <f>-1 * SUM(D17:D23)</f>
        <v>0</v>
      </c>
      <c r="E24" s="282">
        <f>SUM(E17:E23)</f>
        <v>0</v>
      </c>
      <c r="F24" s="93"/>
      <c r="G24" s="93"/>
      <c r="H24" s="22"/>
    </row>
    <row r="25" spans="1:9" ht="15.75" x14ac:dyDescent="0.25">
      <c r="A25" s="22"/>
      <c r="B25" s="92"/>
      <c r="C25" s="92"/>
      <c r="D25" s="93"/>
      <c r="E25" s="93"/>
      <c r="F25" s="93"/>
      <c r="G25" s="93"/>
      <c r="H25" s="22"/>
    </row>
    <row r="26" spans="1:9" ht="16.5" thickBot="1" x14ac:dyDescent="0.3">
      <c r="A26" s="22"/>
      <c r="B26" s="92"/>
      <c r="C26" s="251"/>
      <c r="D26" s="251" t="s">
        <v>287</v>
      </c>
      <c r="E26" s="448">
        <f>SUM(D24:E24)</f>
        <v>0</v>
      </c>
      <c r="F26" s="659" t="s">
        <v>443</v>
      </c>
      <c r="G26" s="660"/>
      <c r="H26" s="22"/>
    </row>
    <row r="27" spans="1:9" ht="15.75" x14ac:dyDescent="0.25">
      <c r="A27" s="22"/>
      <c r="B27" s="92"/>
      <c r="C27" s="92"/>
      <c r="D27" s="100"/>
      <c r="E27" s="93"/>
      <c r="F27" s="93"/>
      <c r="G27" s="93"/>
      <c r="H27" s="22"/>
    </row>
    <row r="28" spans="1:9" ht="16.5" thickBot="1" x14ac:dyDescent="0.3">
      <c r="A28" s="22"/>
      <c r="B28" s="99" t="s">
        <v>217</v>
      </c>
      <c r="C28" s="496" t="str">
        <f>'Worksheet Prep'!D4</f>
        <v/>
      </c>
      <c r="D28" s="496"/>
      <c r="E28" s="99" t="s">
        <v>218</v>
      </c>
      <c r="F28" s="117" t="str">
        <f>IF('Worksheet Prep'!J6&lt;&gt;"",'Worksheet Prep'!J6,"")</f>
        <v/>
      </c>
      <c r="G28" s="22"/>
      <c r="H28" s="22"/>
    </row>
    <row r="29" spans="1:9" x14ac:dyDescent="0.25">
      <c r="A29" s="22"/>
      <c r="B29" s="22"/>
      <c r="C29" s="22"/>
      <c r="D29" s="22"/>
      <c r="E29" s="22"/>
      <c r="F29" s="22"/>
      <c r="G29" s="22"/>
      <c r="H29" s="22"/>
    </row>
    <row r="30" spans="1:9" x14ac:dyDescent="0.25">
      <c r="A30" s="22"/>
      <c r="B30" s="22"/>
      <c r="C30" s="22"/>
      <c r="D30" s="22"/>
      <c r="E30" s="22"/>
      <c r="F30" s="22"/>
      <c r="G30" s="22"/>
      <c r="H30" s="22"/>
    </row>
  </sheetData>
  <sheetProtection algorithmName="SHA-512" hashValue="YbCerdr2l708jJmCMekOdbwD7NLj6EmmM2JdJB43Be+SmtslTQCL9K6anvZKEbUYKhrY2gaT619exuwkyCLfNw==" saltValue="613fWA4+ER86mj0PQgnPVA==" spinCount="100000" sheet="1" objects="1" scenarios="1" selectLockedCells="1"/>
  <mergeCells count="14">
    <mergeCell ref="F26:G26"/>
    <mergeCell ref="C28:D28"/>
    <mergeCell ref="B15:B16"/>
    <mergeCell ref="C15:C16"/>
    <mergeCell ref="D15:D16"/>
    <mergeCell ref="E15:E16"/>
    <mergeCell ref="F15:F16"/>
    <mergeCell ref="G15:G16"/>
    <mergeCell ref="B13:G14"/>
    <mergeCell ref="B2:G2"/>
    <mergeCell ref="B4:G4"/>
    <mergeCell ref="F6:G6"/>
    <mergeCell ref="F8:G8"/>
    <mergeCell ref="D11:E11"/>
  </mergeCells>
  <conditionalFormatting sqref="D17">
    <cfRule type="cellIs" dxfId="42" priority="41" operator="lessThan">
      <formula>0%</formula>
    </cfRule>
    <cfRule type="cellIs" dxfId="41" priority="42" operator="greaterThan">
      <formula>H17</formula>
    </cfRule>
    <cfRule type="cellIs" dxfId="40" priority="43" operator="between">
      <formula>0%</formula>
      <formula>H17</formula>
    </cfRule>
  </conditionalFormatting>
  <conditionalFormatting sqref="E17">
    <cfRule type="cellIs" dxfId="39" priority="37" operator="lessThan">
      <formula>0%</formula>
    </cfRule>
    <cfRule type="cellIs" dxfId="38" priority="38" operator="greaterThan">
      <formula>I17</formula>
    </cfRule>
    <cfRule type="cellIs" dxfId="37" priority="39" operator="between">
      <formula>0%</formula>
      <formula>I17</formula>
    </cfRule>
  </conditionalFormatting>
  <conditionalFormatting sqref="E18">
    <cfRule type="cellIs" dxfId="36" priority="34" operator="lessThan">
      <formula>0%</formula>
    </cfRule>
    <cfRule type="cellIs" dxfId="35" priority="35" operator="greaterThan">
      <formula>I18</formula>
    </cfRule>
    <cfRule type="cellIs" dxfId="34" priority="36" operator="between">
      <formula>0%</formula>
      <formula>I18</formula>
    </cfRule>
  </conditionalFormatting>
  <conditionalFormatting sqref="D18">
    <cfRule type="cellIs" dxfId="33" priority="31" operator="lessThan">
      <formula>0%</formula>
    </cfRule>
    <cfRule type="cellIs" dxfId="32" priority="32" operator="greaterThan">
      <formula>H18</formula>
    </cfRule>
    <cfRule type="cellIs" dxfId="31" priority="33" operator="between">
      <formula>0%</formula>
      <formula>H18</formula>
    </cfRule>
  </conditionalFormatting>
  <conditionalFormatting sqref="D19">
    <cfRule type="cellIs" dxfId="30" priority="28" operator="lessThan">
      <formula>0%</formula>
    </cfRule>
    <cfRule type="cellIs" dxfId="29" priority="29" operator="greaterThan">
      <formula>H19</formula>
    </cfRule>
    <cfRule type="cellIs" dxfId="28" priority="30" operator="between">
      <formula>0%</formula>
      <formula>H19</formula>
    </cfRule>
  </conditionalFormatting>
  <conditionalFormatting sqref="E19">
    <cfRule type="cellIs" dxfId="27" priority="25" operator="lessThan">
      <formula>0%</formula>
    </cfRule>
    <cfRule type="cellIs" dxfId="26" priority="26" operator="greaterThan">
      <formula>I19</formula>
    </cfRule>
    <cfRule type="cellIs" dxfId="25" priority="27" operator="between">
      <formula>0%</formula>
      <formula>I19</formula>
    </cfRule>
  </conditionalFormatting>
  <conditionalFormatting sqref="E20">
    <cfRule type="cellIs" dxfId="24" priority="22" operator="lessThan">
      <formula>0%</formula>
    </cfRule>
    <cfRule type="cellIs" dxfId="23" priority="23" operator="greaterThan">
      <formula>I20</formula>
    </cfRule>
    <cfRule type="cellIs" dxfId="22" priority="24" operator="between">
      <formula>0%</formula>
      <formula>I20</formula>
    </cfRule>
  </conditionalFormatting>
  <conditionalFormatting sqref="D20">
    <cfRule type="cellIs" dxfId="21" priority="19" operator="lessThan">
      <formula>0%</formula>
    </cfRule>
    <cfRule type="cellIs" dxfId="20" priority="20" operator="greaterThan">
      <formula>H20</formula>
    </cfRule>
    <cfRule type="cellIs" dxfId="19" priority="21" operator="between">
      <formula>0%</formula>
      <formula>H20</formula>
    </cfRule>
  </conditionalFormatting>
  <conditionalFormatting sqref="D21">
    <cfRule type="cellIs" dxfId="18" priority="16" operator="lessThan">
      <formula>0%</formula>
    </cfRule>
    <cfRule type="cellIs" dxfId="17" priority="17" operator="greaterThan">
      <formula>H21</formula>
    </cfRule>
    <cfRule type="cellIs" dxfId="16" priority="18" operator="between">
      <formula>0%</formula>
      <formula>H21</formula>
    </cfRule>
  </conditionalFormatting>
  <conditionalFormatting sqref="E21">
    <cfRule type="cellIs" dxfId="15" priority="13" operator="lessThan">
      <formula>0%</formula>
    </cfRule>
    <cfRule type="cellIs" dxfId="14" priority="14" operator="greaterThan">
      <formula>I21</formula>
    </cfRule>
    <cfRule type="cellIs" dxfId="13" priority="15" operator="between">
      <formula>0%</formula>
      <formula>I21</formula>
    </cfRule>
  </conditionalFormatting>
  <conditionalFormatting sqref="E22">
    <cfRule type="cellIs" dxfId="12" priority="10" operator="lessThan">
      <formula>0%</formula>
    </cfRule>
    <cfRule type="cellIs" dxfId="11" priority="11" operator="greaterThan">
      <formula>I22</formula>
    </cfRule>
    <cfRule type="cellIs" dxfId="10" priority="12" operator="between">
      <formula>0%</formula>
      <formula>I22</formula>
    </cfRule>
  </conditionalFormatting>
  <conditionalFormatting sqref="D22">
    <cfRule type="cellIs" dxfId="9" priority="7" operator="lessThan">
      <formula>0%</formula>
    </cfRule>
    <cfRule type="cellIs" dxfId="8" priority="8" operator="greaterThan">
      <formula>H22</formula>
    </cfRule>
    <cfRule type="cellIs" dxfId="7" priority="9" operator="between">
      <formula>0%</formula>
      <formula>H22</formula>
    </cfRule>
  </conditionalFormatting>
  <conditionalFormatting sqref="D23">
    <cfRule type="cellIs" dxfId="6" priority="4" operator="lessThan">
      <formula>0%</formula>
    </cfRule>
    <cfRule type="cellIs" dxfId="5" priority="5" operator="greaterThan">
      <formula>H23</formula>
    </cfRule>
    <cfRule type="cellIs" dxfId="4" priority="6" operator="between">
      <formula>0%</formula>
      <formula>H23</formula>
    </cfRule>
  </conditionalFormatting>
  <conditionalFormatting sqref="E23">
    <cfRule type="cellIs" dxfId="3" priority="1" operator="lessThan">
      <formula>0%</formula>
    </cfRule>
    <cfRule type="cellIs" dxfId="2" priority="2" operator="greaterThan">
      <formula>I23</formula>
    </cfRule>
    <cfRule type="cellIs" dxfId="1" priority="3" operator="between">
      <formula>0%</formula>
      <formula>I23</formula>
    </cfRule>
  </conditionalFormatting>
  <pageMargins left="0.7" right="0.7" top="0.75" bottom="0.75" header="0.3" footer="0.3"/>
  <pageSetup scale="64" fitToHeight="0" orientation="portrait" r:id="rId1"/>
  <extLst>
    <ext xmlns:x14="http://schemas.microsoft.com/office/spreadsheetml/2009/9/main" uri="{78C0D931-6437-407d-A8EE-F0AAD7539E65}">
      <x14:conditionalFormattings>
        <x14:conditionalFormatting xmlns:xm="http://schemas.microsoft.com/office/excel/2006/main">
          <x14:cfRule type="cellIs" priority="40" operator="notBetween" id="{D934FE43-AD29-4AE8-9D76-2249AD6C5074}">
            <xm:f>-1 * 'STATE CODES (NUM) &amp; MIN-MAX'!$E$51</xm:f>
            <xm:f>'STATE CODES (NUM) &amp; MIN-MAX'!$E$51</xm:f>
            <x14:dxf>
              <font>
                <color theme="5" tint="-0.499984740745262"/>
              </font>
              <fill>
                <patternFill>
                  <bgColor rgb="FFFFCCCC"/>
                </patternFill>
              </fill>
            </x14:dxf>
          </x14:cfRule>
          <xm:sqref>E26</xm:sqref>
        </x14:conditionalFormatting>
      </x14:conditionalFormatting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4">
    <pageSetUpPr fitToPage="1"/>
  </sheetPr>
  <dimension ref="B1:G64"/>
  <sheetViews>
    <sheetView showGridLines="0" showRowColHeaders="0" workbookViewId="0">
      <selection activeCell="E25" sqref="E25"/>
    </sheetView>
  </sheetViews>
  <sheetFormatPr defaultRowHeight="15" x14ac:dyDescent="0.25"/>
  <cols>
    <col min="2" max="2" width="17.42578125" customWidth="1"/>
    <col min="3" max="3" width="27.140625" customWidth="1"/>
    <col min="4" max="4" width="11.5703125" customWidth="1"/>
    <col min="5" max="5" width="18.85546875" bestFit="1" customWidth="1"/>
  </cols>
  <sheetData>
    <row r="1" spans="2:7" x14ac:dyDescent="0.25">
      <c r="B1" s="831" t="s">
        <v>141</v>
      </c>
      <c r="C1" s="4"/>
    </row>
    <row r="2" spans="2:7" x14ac:dyDescent="0.25">
      <c r="B2" s="831"/>
      <c r="C2" s="6">
        <v>42654</v>
      </c>
      <c r="E2" t="s">
        <v>395</v>
      </c>
      <c r="F2" t="s">
        <v>15</v>
      </c>
    </row>
    <row r="3" spans="2:7" x14ac:dyDescent="0.25">
      <c r="B3" s="5" t="s">
        <v>142</v>
      </c>
      <c r="C3" s="7" t="s">
        <v>143</v>
      </c>
    </row>
    <row r="4" spans="2:7" x14ac:dyDescent="0.25">
      <c r="B4" s="5"/>
      <c r="C4" s="4"/>
    </row>
    <row r="7" spans="2:7" x14ac:dyDescent="0.25">
      <c r="B7" s="835" t="s">
        <v>144</v>
      </c>
      <c r="C7" s="835"/>
      <c r="E7" s="17" t="s">
        <v>219</v>
      </c>
      <c r="F7" s="18" t="s">
        <v>220</v>
      </c>
    </row>
    <row r="8" spans="2:7" x14ac:dyDescent="0.25">
      <c r="B8" s="832" t="s">
        <v>145</v>
      </c>
      <c r="C8" s="832"/>
      <c r="E8" s="16" t="s">
        <v>92</v>
      </c>
      <c r="F8" s="14"/>
    </row>
    <row r="9" spans="2:7" x14ac:dyDescent="0.25">
      <c r="B9" s="832" t="s">
        <v>146</v>
      </c>
      <c r="C9" s="832"/>
      <c r="E9" s="390" t="s">
        <v>434</v>
      </c>
      <c r="F9" s="391" t="s">
        <v>433</v>
      </c>
      <c r="G9" s="201"/>
    </row>
    <row r="10" spans="2:7" x14ac:dyDescent="0.25">
      <c r="B10" s="832" t="s">
        <v>147</v>
      </c>
      <c r="C10" s="832"/>
      <c r="E10" s="201" t="s">
        <v>403</v>
      </c>
      <c r="F10" s="15" t="s">
        <v>223</v>
      </c>
      <c r="G10" s="201"/>
    </row>
    <row r="11" spans="2:7" x14ac:dyDescent="0.25">
      <c r="B11" s="832" t="s">
        <v>148</v>
      </c>
      <c r="C11" s="832"/>
      <c r="E11" s="390" t="s">
        <v>430</v>
      </c>
      <c r="F11" t="s">
        <v>432</v>
      </c>
      <c r="G11" s="201"/>
    </row>
    <row r="12" spans="2:7" x14ac:dyDescent="0.25">
      <c r="B12" s="832" t="s">
        <v>149</v>
      </c>
      <c r="C12" s="832"/>
      <c r="E12" s="201" t="s">
        <v>404</v>
      </c>
      <c r="F12" s="15" t="s">
        <v>415</v>
      </c>
      <c r="G12" s="201"/>
    </row>
    <row r="13" spans="2:7" x14ac:dyDescent="0.25">
      <c r="B13" s="832" t="s">
        <v>150</v>
      </c>
      <c r="C13" s="832"/>
      <c r="E13" s="390" t="s">
        <v>438</v>
      </c>
      <c r="F13" s="15" t="s">
        <v>437</v>
      </c>
      <c r="G13" s="390"/>
    </row>
    <row r="14" spans="2:7" x14ac:dyDescent="0.25">
      <c r="B14" s="832" t="s">
        <v>151</v>
      </c>
      <c r="C14" s="832"/>
      <c r="E14" s="201" t="s">
        <v>405</v>
      </c>
      <c r="F14" s="15" t="s">
        <v>411</v>
      </c>
      <c r="G14" s="390"/>
    </row>
    <row r="15" spans="2:7" x14ac:dyDescent="0.25">
      <c r="B15" s="832" t="s">
        <v>152</v>
      </c>
      <c r="C15" s="832"/>
      <c r="E15" s="390" t="s">
        <v>435</v>
      </c>
      <c r="F15" t="s">
        <v>436</v>
      </c>
      <c r="G15" s="390"/>
    </row>
    <row r="16" spans="2:7" x14ac:dyDescent="0.25">
      <c r="B16" s="834" t="s">
        <v>153</v>
      </c>
      <c r="C16" s="834"/>
      <c r="E16" s="390" t="s">
        <v>429</v>
      </c>
      <c r="F16" t="s">
        <v>431</v>
      </c>
      <c r="G16" s="390"/>
    </row>
    <row r="17" spans="2:7" x14ac:dyDescent="0.25">
      <c r="B17" s="834" t="s">
        <v>154</v>
      </c>
      <c r="C17" s="834"/>
      <c r="E17" s="201" t="s">
        <v>406</v>
      </c>
      <c r="F17" s="15" t="s">
        <v>222</v>
      </c>
      <c r="G17" s="390"/>
    </row>
    <row r="18" spans="2:7" x14ac:dyDescent="0.25">
      <c r="B18" s="833" t="s">
        <v>155</v>
      </c>
      <c r="C18" s="833"/>
      <c r="E18" s="390" t="s">
        <v>407</v>
      </c>
      <c r="F18" s="391" t="s">
        <v>412</v>
      </c>
      <c r="G18" s="390"/>
    </row>
    <row r="19" spans="2:7" x14ac:dyDescent="0.25">
      <c r="B19" s="834" t="s">
        <v>156</v>
      </c>
      <c r="C19" s="834"/>
      <c r="E19" s="390" t="s">
        <v>408</v>
      </c>
      <c r="F19" s="15" t="s">
        <v>221</v>
      </c>
    </row>
    <row r="20" spans="2:7" x14ac:dyDescent="0.25">
      <c r="B20" s="834" t="s">
        <v>157</v>
      </c>
      <c r="C20" s="834"/>
      <c r="E20" s="390" t="s">
        <v>409</v>
      </c>
      <c r="F20" s="391" t="s">
        <v>413</v>
      </c>
    </row>
    <row r="21" spans="2:7" x14ac:dyDescent="0.25">
      <c r="B21" s="834" t="s">
        <v>158</v>
      </c>
      <c r="C21" s="834"/>
      <c r="E21" s="390" t="s">
        <v>439</v>
      </c>
      <c r="F21" s="391" t="s">
        <v>440</v>
      </c>
    </row>
    <row r="22" spans="2:7" x14ac:dyDescent="0.25">
      <c r="B22" s="834" t="s">
        <v>159</v>
      </c>
      <c r="C22" s="834"/>
      <c r="E22" s="390" t="s">
        <v>445</v>
      </c>
      <c r="F22" s="391" t="s">
        <v>444</v>
      </c>
    </row>
    <row r="23" spans="2:7" x14ac:dyDescent="0.25">
      <c r="B23" s="834" t="s">
        <v>160</v>
      </c>
      <c r="C23" s="834"/>
      <c r="E23" s="390" t="s">
        <v>447</v>
      </c>
      <c r="F23" s="391" t="s">
        <v>446</v>
      </c>
    </row>
    <row r="24" spans="2:7" x14ac:dyDescent="0.25">
      <c r="B24" s="832" t="s">
        <v>161</v>
      </c>
      <c r="C24" s="832"/>
      <c r="E24" s="390" t="s">
        <v>410</v>
      </c>
      <c r="F24" s="391" t="s">
        <v>414</v>
      </c>
    </row>
    <row r="25" spans="2:7" x14ac:dyDescent="0.25">
      <c r="B25" s="832" t="s">
        <v>162</v>
      </c>
      <c r="C25" s="832"/>
      <c r="E25" s="390" t="s">
        <v>426</v>
      </c>
      <c r="F25" s="391" t="s">
        <v>427</v>
      </c>
    </row>
    <row r="26" spans="2:7" x14ac:dyDescent="0.25">
      <c r="B26" s="832" t="s">
        <v>163</v>
      </c>
      <c r="C26" s="832"/>
    </row>
    <row r="27" spans="2:7" x14ac:dyDescent="0.25">
      <c r="B27" s="832" t="s">
        <v>164</v>
      </c>
      <c r="C27" s="832"/>
    </row>
    <row r="28" spans="2:7" x14ac:dyDescent="0.25">
      <c r="B28" s="832" t="s">
        <v>165</v>
      </c>
      <c r="C28" s="832"/>
    </row>
    <row r="29" spans="2:7" x14ac:dyDescent="0.25">
      <c r="B29" s="832" t="s">
        <v>166</v>
      </c>
      <c r="C29" s="832"/>
    </row>
    <row r="30" spans="2:7" x14ac:dyDescent="0.25">
      <c r="B30" s="832" t="s">
        <v>167</v>
      </c>
      <c r="C30" s="832"/>
    </row>
    <row r="31" spans="2:7" x14ac:dyDescent="0.25">
      <c r="B31" s="832" t="s">
        <v>168</v>
      </c>
      <c r="C31" s="832"/>
    </row>
    <row r="32" spans="2:7" x14ac:dyDescent="0.25">
      <c r="B32" s="832" t="s">
        <v>169</v>
      </c>
      <c r="C32" s="832"/>
    </row>
    <row r="33" spans="2:3" x14ac:dyDescent="0.25">
      <c r="B33" s="832" t="s">
        <v>170</v>
      </c>
      <c r="C33" s="832"/>
    </row>
    <row r="34" spans="2:3" x14ac:dyDescent="0.25">
      <c r="B34" s="832" t="s">
        <v>171</v>
      </c>
      <c r="C34" s="832"/>
    </row>
    <row r="35" spans="2:3" x14ac:dyDescent="0.25">
      <c r="B35" s="832" t="s">
        <v>172</v>
      </c>
      <c r="C35" s="832"/>
    </row>
    <row r="36" spans="2:3" x14ac:dyDescent="0.25">
      <c r="B36" s="832" t="s">
        <v>173</v>
      </c>
      <c r="C36" s="832"/>
    </row>
    <row r="37" spans="2:3" x14ac:dyDescent="0.25">
      <c r="B37" s="832" t="s">
        <v>174</v>
      </c>
      <c r="C37" s="832"/>
    </row>
    <row r="38" spans="2:3" x14ac:dyDescent="0.25">
      <c r="B38" s="832" t="s">
        <v>175</v>
      </c>
      <c r="C38" s="832"/>
    </row>
    <row r="39" spans="2:3" x14ac:dyDescent="0.25">
      <c r="B39" s="832" t="s">
        <v>176</v>
      </c>
      <c r="C39" s="832"/>
    </row>
    <row r="40" spans="2:3" x14ac:dyDescent="0.25">
      <c r="B40" s="832" t="s">
        <v>177</v>
      </c>
      <c r="C40" s="832"/>
    </row>
    <row r="41" spans="2:3" x14ac:dyDescent="0.25">
      <c r="B41" s="832" t="s">
        <v>178</v>
      </c>
      <c r="C41" s="832"/>
    </row>
    <row r="42" spans="2:3" x14ac:dyDescent="0.25">
      <c r="B42" s="832" t="s">
        <v>179</v>
      </c>
      <c r="C42" s="832"/>
    </row>
    <row r="43" spans="2:3" x14ac:dyDescent="0.25">
      <c r="B43" s="832" t="s">
        <v>180</v>
      </c>
      <c r="C43" s="832"/>
    </row>
    <row r="44" spans="2:3" x14ac:dyDescent="0.25">
      <c r="B44" s="832" t="s">
        <v>181</v>
      </c>
      <c r="C44" s="832"/>
    </row>
    <row r="45" spans="2:3" x14ac:dyDescent="0.25">
      <c r="B45" s="832" t="s">
        <v>182</v>
      </c>
      <c r="C45" s="832"/>
    </row>
    <row r="46" spans="2:3" x14ac:dyDescent="0.25">
      <c r="B46" s="832" t="s">
        <v>183</v>
      </c>
      <c r="C46" s="832"/>
    </row>
    <row r="47" spans="2:3" x14ac:dyDescent="0.25">
      <c r="B47" s="832" t="s">
        <v>184</v>
      </c>
      <c r="C47" s="832"/>
    </row>
    <row r="48" spans="2:3" x14ac:dyDescent="0.25">
      <c r="B48" s="832" t="s">
        <v>185</v>
      </c>
      <c r="C48" s="832"/>
    </row>
    <row r="49" spans="2:4" x14ac:dyDescent="0.25">
      <c r="B49" s="832" t="s">
        <v>186</v>
      </c>
      <c r="C49" s="832"/>
    </row>
    <row r="50" spans="2:4" x14ac:dyDescent="0.25">
      <c r="B50" s="832" t="s">
        <v>187</v>
      </c>
      <c r="C50" s="832"/>
    </row>
    <row r="51" spans="2:4" x14ac:dyDescent="0.25">
      <c r="B51" s="832" t="s">
        <v>188</v>
      </c>
      <c r="C51" s="832"/>
    </row>
    <row r="52" spans="2:4" x14ac:dyDescent="0.25">
      <c r="B52" s="836" t="s">
        <v>189</v>
      </c>
      <c r="C52" s="836"/>
    </row>
    <row r="53" spans="2:4" x14ac:dyDescent="0.25">
      <c r="B53" s="836" t="s">
        <v>190</v>
      </c>
      <c r="C53" s="836"/>
    </row>
    <row r="54" spans="2:4" x14ac:dyDescent="0.25">
      <c r="B54" s="837"/>
      <c r="C54" s="837"/>
      <c r="D54" s="8" t="s">
        <v>191</v>
      </c>
    </row>
    <row r="55" spans="2:4" x14ac:dyDescent="0.25">
      <c r="B55" s="838"/>
      <c r="C55" s="838"/>
    </row>
    <row r="56" spans="2:4" x14ac:dyDescent="0.25">
      <c r="B56" s="838"/>
      <c r="C56" s="838"/>
    </row>
    <row r="57" spans="2:4" x14ac:dyDescent="0.25">
      <c r="B57" s="838"/>
      <c r="C57" s="838"/>
    </row>
    <row r="58" spans="2:4" x14ac:dyDescent="0.25">
      <c r="B58" s="838"/>
      <c r="C58" s="838"/>
    </row>
    <row r="59" spans="2:4" x14ac:dyDescent="0.25">
      <c r="B59" s="838"/>
      <c r="C59" s="838"/>
    </row>
    <row r="60" spans="2:4" x14ac:dyDescent="0.25">
      <c r="B60" s="838"/>
      <c r="C60" s="838"/>
    </row>
    <row r="61" spans="2:4" x14ac:dyDescent="0.25">
      <c r="B61" s="838"/>
      <c r="C61" s="838"/>
    </row>
    <row r="62" spans="2:4" x14ac:dyDescent="0.25">
      <c r="B62" s="838"/>
      <c r="C62" s="838"/>
    </row>
    <row r="63" spans="2:4" x14ac:dyDescent="0.25">
      <c r="B63" s="838"/>
      <c r="C63" s="838"/>
    </row>
    <row r="64" spans="2:4" x14ac:dyDescent="0.25">
      <c r="B64" s="838"/>
      <c r="C64" s="838"/>
    </row>
  </sheetData>
  <sheetProtection algorithmName="SHA-512" hashValue="fnupOtpMYdVWyxoGHMfRcYfMy7PEczQj+HTQ63fe4ay6c2Rw9i/KTvqMKOX9+go4GIaec+Cs4uPlRgap3HBF7A==" saltValue="jPPbz5Tg4GonNJf7ErZfOg==" spinCount="100000" sheet="1" objects="1" scenarios="1"/>
  <sortState xmlns:xlrd2="http://schemas.microsoft.com/office/spreadsheetml/2017/richdata2" ref="E9:F25">
    <sortCondition ref="E9"/>
  </sortState>
  <mergeCells count="59">
    <mergeCell ref="B61:C61"/>
    <mergeCell ref="B62:C62"/>
    <mergeCell ref="B63:C63"/>
    <mergeCell ref="B64:C64"/>
    <mergeCell ref="B56:C56"/>
    <mergeCell ref="B57:C57"/>
    <mergeCell ref="B58:C58"/>
    <mergeCell ref="B59:C59"/>
    <mergeCell ref="B60:C60"/>
    <mergeCell ref="B51:C51"/>
    <mergeCell ref="B52:C52"/>
    <mergeCell ref="B53:C53"/>
    <mergeCell ref="B54:C54"/>
    <mergeCell ref="B55:C55"/>
    <mergeCell ref="B46:C46"/>
    <mergeCell ref="B47:C47"/>
    <mergeCell ref="B48:C48"/>
    <mergeCell ref="B49:C49"/>
    <mergeCell ref="B50:C50"/>
    <mergeCell ref="B41:C41"/>
    <mergeCell ref="B42:C42"/>
    <mergeCell ref="B43:C43"/>
    <mergeCell ref="B44:C44"/>
    <mergeCell ref="B45:C45"/>
    <mergeCell ref="B36:C36"/>
    <mergeCell ref="B37:C37"/>
    <mergeCell ref="B38:C38"/>
    <mergeCell ref="B39:C39"/>
    <mergeCell ref="B40:C40"/>
    <mergeCell ref="B32:C32"/>
    <mergeCell ref="B33:C33"/>
    <mergeCell ref="B7:C7"/>
    <mergeCell ref="B34:C34"/>
    <mergeCell ref="B35:C35"/>
    <mergeCell ref="B27:C27"/>
    <mergeCell ref="B28:C28"/>
    <mergeCell ref="B29:C29"/>
    <mergeCell ref="B30:C30"/>
    <mergeCell ref="B31:C31"/>
    <mergeCell ref="B22:C22"/>
    <mergeCell ref="B23:C23"/>
    <mergeCell ref="B24:C24"/>
    <mergeCell ref="B25:C25"/>
    <mergeCell ref="B26:C26"/>
    <mergeCell ref="B17:C17"/>
    <mergeCell ref="B18:C18"/>
    <mergeCell ref="B19:C19"/>
    <mergeCell ref="B20:C20"/>
    <mergeCell ref="B21:C21"/>
    <mergeCell ref="B12:C12"/>
    <mergeCell ref="B13:C13"/>
    <mergeCell ref="B14:C14"/>
    <mergeCell ref="B15:C15"/>
    <mergeCell ref="B16:C16"/>
    <mergeCell ref="B1:B2"/>
    <mergeCell ref="B8:C8"/>
    <mergeCell ref="B9:C9"/>
    <mergeCell ref="B10:C10"/>
    <mergeCell ref="B11:C11"/>
  </mergeCells>
  <pageMargins left="0.7" right="0.7" top="0.75" bottom="0.75" header="0.3" footer="0.3"/>
  <pageSetup scale="73"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45</vt:i4>
      </vt:variant>
    </vt:vector>
  </HeadingPairs>
  <TitlesOfParts>
    <vt:vector size="90" baseType="lpstr">
      <vt:lpstr>Worksheet Prep</vt:lpstr>
      <vt:lpstr>STATE CODES (NUM) &amp; MIN-MAX</vt:lpstr>
      <vt:lpstr>AL</vt:lpstr>
      <vt:lpstr>AK</vt:lpstr>
      <vt:lpstr>AZ</vt:lpstr>
      <vt:lpstr>AR</vt:lpstr>
      <vt:lpstr>CA</vt:lpstr>
      <vt:lpstr>CO</vt:lpstr>
      <vt:lpstr>CT</vt:lpstr>
      <vt:lpstr>DE</vt:lpstr>
      <vt:lpstr>D.C.</vt:lpstr>
      <vt:lpstr>GA</vt:lpstr>
      <vt:lpstr>ID</vt:lpstr>
      <vt:lpstr>IL</vt:lpstr>
      <vt:lpstr>IN</vt:lpstr>
      <vt:lpstr>IA</vt:lpstr>
      <vt:lpstr>KS</vt:lpstr>
      <vt:lpstr>KY</vt:lpstr>
      <vt:lpstr>LA</vt:lpstr>
      <vt:lpstr>ME</vt:lpstr>
      <vt:lpstr>MD</vt:lpstr>
      <vt:lpstr>MI</vt:lpstr>
      <vt:lpstr>MN</vt:lpstr>
      <vt:lpstr>MS</vt:lpstr>
      <vt:lpstr>MO</vt:lpstr>
      <vt:lpstr>NE</vt:lpstr>
      <vt:lpstr>MT</vt:lpstr>
      <vt:lpstr>NV</vt:lpstr>
      <vt:lpstr>NH</vt:lpstr>
      <vt:lpstr>NJ</vt:lpstr>
      <vt:lpstr>NM</vt:lpstr>
      <vt:lpstr>NY</vt:lpstr>
      <vt:lpstr>NC</vt:lpstr>
      <vt:lpstr>OK</vt:lpstr>
      <vt:lpstr>PA</vt:lpstr>
      <vt:lpstr>RI</vt:lpstr>
      <vt:lpstr>SC</vt:lpstr>
      <vt:lpstr>SD</vt:lpstr>
      <vt:lpstr>TN</vt:lpstr>
      <vt:lpstr>TX</vt:lpstr>
      <vt:lpstr>UT</vt:lpstr>
      <vt:lpstr>VT</vt:lpstr>
      <vt:lpstr>VA</vt:lpstr>
      <vt:lpstr>WV</vt:lpstr>
      <vt:lpstr>Additional Info</vt:lpstr>
      <vt:lpstr>ALABAMA</vt:lpstr>
      <vt:lpstr>AK!Print_Area</vt:lpstr>
      <vt:lpstr>AL!Print_Area</vt:lpstr>
      <vt:lpstr>AR!Print_Area</vt:lpstr>
      <vt:lpstr>AZ!Print_Area</vt:lpstr>
      <vt:lpstr>CA!Print_Area</vt:lpstr>
      <vt:lpstr>CO!Print_Area</vt:lpstr>
      <vt:lpstr>CT!Print_Area</vt:lpstr>
      <vt:lpstr>D.C.!Print_Area</vt:lpstr>
      <vt:lpstr>DE!Print_Area</vt:lpstr>
      <vt:lpstr>GA!Print_Area</vt:lpstr>
      <vt:lpstr>IA!Print_Area</vt:lpstr>
      <vt:lpstr>ID!Print_Area</vt:lpstr>
      <vt:lpstr>IL!Print_Area</vt:lpstr>
      <vt:lpstr>IN!Print_Area</vt:lpstr>
      <vt:lpstr>KS!Print_Area</vt:lpstr>
      <vt:lpstr>KY!Print_Area</vt:lpstr>
      <vt:lpstr>LA!Print_Area</vt:lpstr>
      <vt:lpstr>MD!Print_Area</vt:lpstr>
      <vt:lpstr>ME!Print_Area</vt:lpstr>
      <vt:lpstr>MI!Print_Area</vt:lpstr>
      <vt:lpstr>MN!Print_Area</vt:lpstr>
      <vt:lpstr>MO!Print_Area</vt:lpstr>
      <vt:lpstr>MS!Print_Area</vt:lpstr>
      <vt:lpstr>MT!Print_Area</vt:lpstr>
      <vt:lpstr>NC!Print_Area</vt:lpstr>
      <vt:lpstr>NE!Print_Area</vt:lpstr>
      <vt:lpstr>NH!Print_Area</vt:lpstr>
      <vt:lpstr>NJ!Print_Area</vt:lpstr>
      <vt:lpstr>NM!Print_Area</vt:lpstr>
      <vt:lpstr>NV!Print_Area</vt:lpstr>
      <vt:lpstr>NY!Print_Area</vt:lpstr>
      <vt:lpstr>OK!Print_Area</vt:lpstr>
      <vt:lpstr>PA!Print_Area</vt:lpstr>
      <vt:lpstr>RI!Print_Area</vt:lpstr>
      <vt:lpstr>SC!Print_Area</vt:lpstr>
      <vt:lpstr>SD!Print_Area</vt:lpstr>
      <vt:lpstr>'STATE CODES (NUM) &amp; MIN-MAX'!Print_Area</vt:lpstr>
      <vt:lpstr>TN!Print_Area</vt:lpstr>
      <vt:lpstr>TX!Print_Area</vt:lpstr>
      <vt:lpstr>UT!Print_Area</vt:lpstr>
      <vt:lpstr>VA!Print_Area</vt:lpstr>
      <vt:lpstr>VT!Print_Area</vt:lpstr>
      <vt:lpstr>'Worksheet Prep'!Print_Area</vt:lpstr>
      <vt:lpstr>WV!Print_Area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Houston</dc:creator>
  <cp:lastModifiedBy>Li Kang</cp:lastModifiedBy>
  <cp:lastPrinted>2016-11-03T20:20:59Z</cp:lastPrinted>
  <dcterms:created xsi:type="dcterms:W3CDTF">2016-10-11T18:45:30Z</dcterms:created>
  <dcterms:modified xsi:type="dcterms:W3CDTF">2022-06-24T10:53:01Z</dcterms:modified>
</cp:coreProperties>
</file>